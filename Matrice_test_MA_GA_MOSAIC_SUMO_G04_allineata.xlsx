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92fb1d748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9a52477fdf0144a0"/>
    <x:sheet xmlns:r="http://schemas.openxmlformats.org/officeDocument/2006/relationships" name="01_Profili" sheetId="2" r:id="Ref521e3f6c014bd7"/>
    <x:sheet xmlns:r="http://schemas.openxmlformats.org/officeDocument/2006/relationships" name="02_Configurazioni" sheetId="3" r:id="Rf2574405b73e4794"/>
    <x:sheet xmlns:r="http://schemas.openxmlformats.org/officeDocument/2006/relationships" name="03_Piano_run" sheetId="4" r:id="R3ca04c7dc54246e8"/>
    <x:sheet xmlns:r="http://schemas.openxmlformats.org/officeDocument/2006/relationships" name="04_Catalogo_test" sheetId="5" r:id="R72e736247a754dd8"/>
    <x:sheet xmlns:r="http://schemas.openxmlformats.org/officeDocument/2006/relationships" name="05_Output_dizionario" sheetId="6" r:id="Ra9cd4b6e84814b0c"/>
    <x:sheet xmlns:r="http://schemas.openxmlformats.org/officeDocument/2006/relationships" name="06_Oracoli" sheetId="7" r:id="R2940bf0516554724"/>
    <x:sheet xmlns:r="http://schemas.openxmlformats.org/officeDocument/2006/relationships" name="07_Checklist" sheetId="8" r:id="R51913ebb07494bbb"/>
    <x:sheet xmlns:r="http://schemas.openxmlformats.org/officeDocument/2006/relationships" name="08_Limiti" sheetId="9" r:id="R3c0b61b7a54d4705"/>
    <x:sheet xmlns:r="http://schemas.openxmlformats.org/officeDocument/2006/relationships" name="09_Fonti" sheetId="10" r:id="R7b900037a02540f3"/>
    <x:sheet xmlns:r="http://schemas.openxmlformats.org/officeDocument/2006/relationships" name="10_Risultati_G00_G01" sheetId="11" r:id="R475c7989388346cd"/>
    <x:sheet xmlns:r="http://schemas.openxmlformats.org/officeDocument/2006/relationships" name="11_Pre_G02_Checkpoint" sheetId="12" r:id="R7ace9d1d82c1490e"/>
    <x:sheet xmlns:r="http://schemas.openxmlformats.org/officeDocument/2006/relationships" name="12_Risultati_G02" sheetId="13" r:id="Rd19ed424386e4921"/>
    <x:sheet xmlns:r="http://schemas.openxmlformats.org/officeDocument/2006/relationships" name="13_Risultati_G03" sheetId="14" r:id="Rac171724f3d7410d"/>
    <x:sheet xmlns:r="http://schemas.openxmlformats.org/officeDocument/2006/relationships" name="14_Risultati_G04" sheetId="15" r:id="R2861440ac6af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000"/>
    <x:numFmt numFmtId="202" formatCode="0"/>
    <x:numFmt numFmtId="203" formatCode="0.000000"/>
    <x:numFmt numFmtId="204" formatCode="0.0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  <x:font>
      <x:b/>
      <x:sz val="11"/>
      <x:color rgb="FF1F4E78"/>
      <x:name val="Carlito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7" fillId="3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8" xfId="0" applyNumberFormat="1" applyFont="1" applyFill="1" applyBorder="1" applyAlignment="1">
      <x:alignment vertical="top" wrapText="1"/>
    </x:xf>
    <x:xf numFmtId="0" fontId="0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vertical="top" wrapText="1"/>
    </x:xf>
    <x:xf numFmtId="0" fontId="3" fillId="35" borderId="8" xfId="0" applyNumberFormat="1" applyFont="1" applyFill="1" applyBorder="1" applyAlignment="1">
      <x:alignment vertical="top" wrapText="1"/>
    </x:xf>
    <x:xf numFmtId="0" fontId="3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horizontal="center" vertical="top" wrapText="1"/>
    </x:xf>
    <x:xf numFmtId="0" fontId="3" fillId="35" borderId="8" xfId="0" applyNumberFormat="1" applyFont="1" applyFill="1" applyBorder="1" applyAlignment="1">
      <x:alignment horizontal="center" vertical="top" wrapText="1"/>
    </x:xf>
    <x:xf numFmtId="0" fontId="3" fillId="35" borderId="9" xfId="0" applyNumberFormat="1" applyFont="1" applyFill="1" applyBorder="1" applyAlignment="1">
      <x:alignment horizontal="center" vertical="top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0" fontId="3" fillId="35" borderId="9" xfId="0" applyNumberFormat="1" applyFont="1" applyFill="1" applyBorder="1" applyAlignment="1">
      <x:alignment horizontal="center" vertical="center" wrapText="1"/>
    </x:xf>
    <x:xf numFmtId="0" fontId="0" fillId="21" borderId="7" xfId="0" applyNumberFormat="1" applyFont="1" applyFill="1" applyBorder="1" applyAlignment="1">
      <x:alignment vertical="top" wrapText="1"/>
    </x:xf>
    <x:xf numFmtId="0" fontId="0" fillId="21" borderId="8" xfId="0" applyNumberFormat="1" applyFont="1" applyFill="1" applyBorder="1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9" fillId="31" borderId="0" xfId="0" applyNumberFormat="1" applyFont="1" applyFill="1" applyBorder="1" applyAlignment="1">
      <x:alignment vertical="top" wrapText="1"/>
    </x:xf>
    <x:xf numFmtId="0" fontId="0" fillId="32" xfId="0" applyNumberFormat="1" applyFont="1" applyFill="1" applyBorder="0" applyAlignment="1">
      <x:alignment vertical="top" wrapText="1"/>
    </x:xf>
    <x:xf numFmtId="0" fontId="7" fillId="32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7" fillId="34" xfId="0" applyNumberFormat="1" applyFont="1" applyFill="1" applyBorder="0" applyAlignment="1">
      <x:alignment vertical="top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left" wrapText="1"/>
    </x:xf>
    <x:xf numFmtId="0" fontId="3" fillId="35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14" fillId="36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2" borderId="9" xfId="0" applyNumberFormat="1" applyFont="1" applyFill="1" applyBorder="1" applyAlignment="1">
      <x:alignment vertical="top" wrapText="1"/>
    </x:xf>
    <x:xf numFmtId="0" fontId="7" fillId="32" borderId="9" xfId="0" applyNumberFormat="1" applyFont="1" applyFill="1" applyBorder="1" applyAlignment="1">
      <x:alignment vertical="top" wrapText="1"/>
    </x:xf>
    <x:xf numFmtId="0" fontId="0" fillId="31" borderId="8" xfId="0" applyNumberFormat="1" applyFont="1" applyFill="1" applyBorder="1" applyAlignment="1">
      <x:alignment vertical="top" wrapText="1"/>
    </x:xf>
    <x:xf numFmtId="0" fontId="7" fillId="31" borderId="8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7" fillId="31" xfId="0" applyNumberFormat="1" applyFont="1" applyFill="1" applyBorder="0" applyAlignment="1">
      <x:alignment vertical="top" wrapText="1"/>
    </x:xf>
    <x:xf numFmtId="0" fontId="0" fillId="32" borderId="13" xfId="0" applyNumberFormat="1" applyFont="1" applyFill="1" applyBorder="1" applyAlignment="1">
      <x:alignment vertical="top" wrapText="1"/>
    </x:xf>
    <x:xf numFmtId="0" fontId="7" fillId="32" borderId="13" xfId="0" applyNumberFormat="1" applyFont="1" applyFill="1" applyBorder="1" applyAlignment="1">
      <x:alignment vertical="top" wrapText="1"/>
    </x:xf>
    <x:xf numFmtId="0" fontId="14" fillId="36" borderId="15" xfId="0" applyNumberFormat="1" applyFont="1" applyFill="1" applyBorder="1"/>
    <x:xf numFmtId="0" fontId="14" fillId="36" borderId="16" xfId="0" applyNumberFormat="1" applyFont="1" applyFill="1" applyBorder="1"/>
    <x:xf numFmtId="0" fontId="14" fillId="36" borderId="17" xfId="0" applyNumberFormat="1" applyFont="1" applyFill="1" applyBorder="1"/>
    <x:xf numFmtId="0" fontId="14" fillId="36" borderId="15" xfId="0" applyNumberFormat="1" applyFont="1" applyFill="1" applyBorder="1" applyAlignment="1">
      <x:alignment wrapText="1"/>
    </x:xf>
    <x:xf numFmtId="0" fontId="14" fillId="36" borderId="16" xfId="0" applyNumberFormat="1" applyFont="1" applyFill="1" applyBorder="1" applyAlignment="1">
      <x:alignment wrapText="1"/>
    </x:xf>
    <x:xf numFmtId="0" fontId="14" fillId="36" borderId="17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top" wrapText="1"/>
    </x:xf>
    <x:xf numFmtId="0" fontId="7" fillId="33" xfId="0" applyNumberFormat="1" applyFont="1" applyFill="1" applyBorder="0" applyAlignment="1">
      <x:alignment vertical="top" wrapText="1"/>
    </x:xf>
    <x:xf numFmtId="0" fontId="0" fillId="31" borderId="13" xfId="0" applyNumberFormat="1" applyFont="1" applyFill="1" applyBorder="1" applyAlignment="1">
      <x:alignment vertical="top" wrapText="1"/>
    </x:xf>
    <x:xf numFmtId="0" fontId="7" fillId="31" borderId="13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13" xfId="0" applyNumberFormat="1" applyFont="1" applyFill="1" applyBorder="1" applyAlignment="1">
      <x:alignment vertical="top" wrapText="1"/>
    </x:xf>
    <x:xf numFmtId="203" fontId="14" fillId="36" borderId="16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7" fillId="5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7" fillId="20" xfId="0" applyNumberFormat="1" applyFont="1" applyFill="1" applyBorder="0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7" fillId="21" xfId="0" applyNumberFormat="1" applyFont="1" applyFill="1" applyBorder="0" applyAlignment="1">
      <x:alignment vertical="top" wrapText="1"/>
    </x:xf>
    <x:xf numFmtId="203" fontId="14" fillId="3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3" fillId="4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f16a3d9e34f7e" /><Relationship Type="http://schemas.openxmlformats.org/officeDocument/2006/relationships/theme" Target="/xl/theme/theme1.xml" Id="R4c4f72014a874f95" /><Relationship Type="http://schemas.microsoft.com/office/2022/11/relationships/FeaturePropertyBag" Target="/xl/featurePropertyBag/featurePropertyBag.xml" Id="R4186c2f617a6448a" /><Relationship Type="http://schemas.openxmlformats.org/officeDocument/2006/relationships/sharedStrings" Target="/xl/sharedStrings.xml" Id="R6fb902aae9bf41d6" /><Relationship Type="http://schemas.openxmlformats.org/officeDocument/2006/relationships/worksheet" Target="/xl/worksheets/sheet1.xml" Id="R9a52477fdf0144a0" /><Relationship Type="http://schemas.openxmlformats.org/officeDocument/2006/relationships/worksheet" Target="/xl/worksheets/sheet2.xml" Id="Ref521e3f6c014bd7" /><Relationship Type="http://schemas.openxmlformats.org/officeDocument/2006/relationships/worksheet" Target="/xl/worksheets/sheet3.xml" Id="Rf2574405b73e4794" /><Relationship Type="http://schemas.openxmlformats.org/officeDocument/2006/relationships/worksheet" Target="/xl/worksheets/sheet4.xml" Id="R3ca04c7dc54246e8" /><Relationship Type="http://schemas.openxmlformats.org/officeDocument/2006/relationships/worksheet" Target="/xl/worksheets/sheet5.xml" Id="R72e736247a754dd8" /><Relationship Type="http://schemas.openxmlformats.org/officeDocument/2006/relationships/worksheet" Target="/xl/worksheets/sheet6.xml" Id="Ra9cd4b6e84814b0c" /><Relationship Type="http://schemas.openxmlformats.org/officeDocument/2006/relationships/worksheet" Target="/xl/worksheets/sheet7.xml" Id="R2940bf0516554724" /><Relationship Type="http://schemas.openxmlformats.org/officeDocument/2006/relationships/worksheet" Target="/xl/worksheets/sheet8.xml" Id="R51913ebb07494bbb" /><Relationship Type="http://schemas.openxmlformats.org/officeDocument/2006/relationships/worksheet" Target="/xl/worksheets/sheet9.xml" Id="R3c0b61b7a54d4705" /><Relationship Type="http://schemas.openxmlformats.org/officeDocument/2006/relationships/worksheet" Target="/xl/worksheets/sheet10.xml" Id="R7b900037a02540f3" /><Relationship Type="http://schemas.openxmlformats.org/officeDocument/2006/relationships/worksheet" Target="/xl/worksheets/sheet11.xml" Id="R475c7989388346cd" /><Relationship Type="http://schemas.openxmlformats.org/officeDocument/2006/relationships/worksheet" Target="/xl/worksheets/sheet12.xml" Id="R7ace9d1d82c1490e" /><Relationship Type="http://schemas.openxmlformats.org/officeDocument/2006/relationships/worksheet" Target="/xl/worksheets/sheet13.xml" Id="Rd19ed424386e4921" /><Relationship Type="http://schemas.openxmlformats.org/officeDocument/2006/relationships/worksheet" Target="/xl/worksheets/sheet14.xml" Id="Rac171724f3d7410d" /><Relationship Type="http://schemas.openxmlformats.org/officeDocument/2006/relationships/worksheet" Target="/xl/worksheets/sheet15.xml" Id="R2861440ac6af48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eaad8996184d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eaad8996184d2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75bf7036d146fc" /><Relationship Type="http://schemas.openxmlformats.org/officeDocument/2006/relationships/table" Target="/xl/tables/table1.xml" Id="R4bc11dc3d84b4761" /><Relationship Type="http://schemas.openxmlformats.org/officeDocument/2006/relationships/table" Target="/xl/tables/table2.xml" Id="R7de3285c35d645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8fe21c438f641c9" /><Relationship Type="http://schemas.openxmlformats.org/officeDocument/2006/relationships/table" Target="/xl/tables/table4.xml" Id="R6273039717c04ec4" /><Relationship Type="http://schemas.openxmlformats.org/officeDocument/2006/relationships/table" Target="/xl/tables/table5.xml" Id="R2d3d8a43389a4054" /><Relationship Type="http://schemas.openxmlformats.org/officeDocument/2006/relationships/table" Target="/xl/tables/table6.xml" Id="R588c45afe425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2c3e91ca4bb04f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1a563ed868c844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8d21bea5711a4f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4fd0cea5974c4c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ab7aa50029f348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93440d7e016940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ecf1871ac6fd4b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1d48e4eeea0b4a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397" t="str">
        <x:v>Matrice completa dei test MA-GA / Eclipse MOSAIC / SUMO — stato dopo G04</x:v>
      </x:c>
      <x:c r="B1" s="397"/>
      <x:c r="C1" s="397"/>
      <x:c r="D1" s="397"/>
      <x:c r="E1" s="397"/>
      <x:c r="F1" s="397"/>
      <x:c r="G1" s="39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</x:v>
      </x:c>
      <x:c r="C4" s="11" t="str">
        <x:v>testing/final-campaign</x:v>
      </x:c>
      <x:c r="D4" s="11"/>
      <x:c r="E4" s="61" t="str">
        <x:v>G02 principale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di partenza chiusura G04</x:v>
      </x:c>
      <x:c r="C5" s="11" t="str">
        <x:v>06eb415e720d08aba82f5aacc1501c86de2c0841</x:v>
      </x:c>
      <x:c r="D5" s="11"/>
      <x:c r="E5" s="31" t="str">
        <x:v>G04</x:v>
      </x:c>
      <x:c r="F5" s="272" t="str">
        <x:v>PASS_WITH_OBSERVABILITY_LIMITS</x:v>
      </x:c>
      <x:c r="G5" s="272" t="str">
        <x:v>5/5 run tecnicamente PASS; 10 test valutati; 0 FAIL.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Core scientifico congelato</x:v>
      </x:c>
      <x:c r="C6" s="11" t="str">
        <x:v>5a9477735a3d707a5f000a64653cd2a6fc7f2007</x:v>
      </x:c>
      <x:c r="D6" s="11"/>
      <x:c r="E6" s="31" t="str">
        <x:v>Diff Java</x:v>
      </x:c>
      <x:c r="F6" s="31" t="str">
        <x:v>Vuoto</x:v>
      </x:c>
      <x:c r="G6" s="31" t="str">
        <x:v>Da riconfermare nello script di commit/push.</x:v>
      </x:c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G04</x:v>
      </x:c>
      <x:c r="C7" s="11" t="str">
        <x:v>ARTEFATTI PREPARATI — COMMIT/PUSH DA ESEGUIRE</x:v>
      </x:c>
      <x:c r="D7" s="11"/>
      <x:c r="E7" s="31" t="str">
        <x:v>taskCompletionModel</x:v>
      </x:c>
      <x:c r="F7" s="31" t="str">
        <x:v>NOT_IMPLEMENTED</x:v>
      </x:c>
      <x:c r="G7" s="31" t="str">
        <x:v>Non calcolare completion rate.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G05 → G06 → G02B → G07</x:v>
      </x:c>
      <x:c r="D8" s="11"/>
      <x:c r="E8" s="31" t="str">
        <x:v>G02B</x:v>
      </x:c>
      <x:c r="F8" s="31" t="str">
        <x:v>DEFERRED_AFTER_G06</x:v>
      </x:c>
      <x:c r="G8" s="31" t="str">
        <x:v>Non anticipare G02B.</x:v>
      </x:c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aggiornato dopo G04.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run, aggregazioni per configurazione e inventario dei batch.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303" t="str">
        <x:v>11–12</x:v>
      </x:c>
      <x:c r="B31" s="303" t="str">
        <x:v>13_Risultati_G03 / 14_Risultati_G04</x:v>
      </x:c>
      <x:c r="C31" s="303" t="str">
        <x:v>Risultati conclusivi G03 e G04, con limiti, metriche e prossima fase G05.</x:v>
      </x:c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 ht="24" customHeight="1">
      <x:c r="A32" s="398" t="str">
        <x:v>Riepilogo al termine G04</x:v>
      </x:c>
      <x:c r="B32" s="398"/>
      <x:c r="C32" s="398"/>
      <x:c r="D32" s="398"/>
      <x:c r="E32" s="398"/>
      <x:c r="F32" s="398"/>
      <x:c r="G32" s="398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Riepilogo al termine G04</x:v>
      </x:c>
      <x:c r="B33" s="62"/>
      <x:c r="C33" s="11"/>
      <x:c r="D33" s="11"/>
      <x:c r="E33" s="11" t="str">
        <x:v>Stato G04</x:v>
      </x:c>
      <x:c r="F33" s="275" t="str">
        <x:v>PASS_WITH_OBSERVABILITY_LIMITS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Run G04 pianificate</x:v>
      </x:c>
      <x:c r="B34" s="11" t="n">
        <x:v>5</x:v>
      </x:c>
      <x:c r="C34" s="11"/>
      <x:c r="D34" s="11"/>
      <x:c r="E34" s="11" t="str">
        <x:v>Run tecniche PASS</x:v>
      </x:c>
      <x:c r="F34" s="276" t="str">
        <x:v>5/5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Test T-090–T-099</x:v>
      </x:c>
      <x:c r="B35" s="11" t="n">
        <x:v>10</x:v>
      </x:c>
      <x:c r="C35" s="11"/>
      <x:c r="D35" s="11"/>
      <x:c r="E35" s="11" t="str">
        <x:v>PASS / PASS_CON_LIMITAZIONE</x:v>
      </x:c>
      <x:c r="F35" s="278" t="str">
        <x:v>2 / 4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Evidenza parziale</x:v>
      </x:c>
      <x:c r="B36" s="11" t="n">
        <x:v>2</x:v>
      </x:c>
      <x:c r="C36" s="11"/>
      <x:c r="D36" s="11"/>
      <x:c r="E36" s="11" t="str">
        <x:v>NON_OSSERVATO</x:v>
      </x:c>
      <x:c r="F36" s="11" t="n">
        <x:v>2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FAIL</x:v>
      </x:c>
      <x:c r="B37" s="11" t="n">
        <x:v>0</x:v>
      </x:c>
      <x:c r="C37" s="11"/>
      <x:c r="D37" s="11"/>
      <x:c r="E37" s="11" t="str">
        <x:v>Modifiche Java</x:v>
      </x:c>
      <x:c r="F37" s="11" t="n">
        <x:v>0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Snapshot lag massimo</x:v>
      </x:c>
      <x:c r="B38" s="11" t="n">
        <x:v>0</x:v>
      </x:c>
      <x:c r="C38" s="11" t="str">
        <x:v>s</x:v>
      </x:c>
      <x:c r="D38" s="11"/>
      <x:c r="E38" s="11" t="str">
        <x:v>Prossimo passo</x:v>
      </x:c>
      <x:c r="F38" s="11" t="str">
        <x:v>G05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Violazioni runtime</x:v>
      </x:c>
      <x:c r="B39" s="11" t="n">
        <x:v>0</x:v>
      </x:c>
      <x:c r="C39" s="11"/>
      <x:c r="D39" s="11"/>
      <x:c r="E39" s="11" t="str">
        <x:v>Completion model</x:v>
      </x:c>
      <x:c r="F39" s="11" t="str">
        <x:v>NOT_IMPLEMENTED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f475bf7036d146fc"/>
  <x:tableParts count="2">
    <x:tablePart xmlns:r="http://schemas.openxmlformats.org/officeDocument/2006/relationships" r:id="R4bc11dc3d84b4761"/>
    <x:tablePart xmlns:r="http://schemas.openxmlformats.org/officeDocument/2006/relationships" r:id="R7de3285c35d645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Profili, baseline e parametri di riferimento — stato dopo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f8fe21c438f641c9"/>
    <x:tablePart xmlns:r="http://schemas.openxmlformats.org/officeDocument/2006/relationships" r:id="R6273039717c04ec4"/>
    <x:tablePart xmlns:r="http://schemas.openxmlformats.org/officeDocument/2006/relationships" r:id="R2d3d8a43389a4054"/>
    <x:tablePart xmlns:r="http://schemas.openxmlformats.org/officeDocument/2006/relationships" r:id="R588c45afe4254c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309" t="str">
        <x:v>PASS_1_OF_1</x:v>
      </x:c>
      <x:c r="AC20" s="11" t="str">
        <x:v>M-BACKGROUND-01: validator PASS; solo LOCAL applicato; accesso remoto non osservato nelle decisioni applicate.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309" t="str">
        <x:v>PASS_1_OF_1</x:v>
      </x:c>
      <x:c r="AC21" s="11" t="str">
        <x:v>M-RSU0-01: candidati EDGE/CLOUD costruiti; nessuna assegnazione remota applicata; evidenza EDGE parziale.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309" t="str">
        <x:v>PASS_1_OF_1</x:v>
      </x:c>
      <x:c r="AC22" s="11" t="str">
        <x:v>M-RSU1-01: 2 assegnazioni CLOUD applicate via gateway geometrico; placeholder legacy assente.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311" t="str">
        <x:v>PASS_1_OF_1_WITH_OBSERVABILITY_LIMIT</x:v>
      </x:c>
      <x:c r="AC23" s="11" t="str">
        <x:v>M-SWITCH-01: run tecnica PASS, ma G04_gateway_transitions.csv non mostra transizioni; gateway switch NON_OSSERVATO.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311" t="str">
        <x:v>PASS_1_OF_1_WITH_RUNTIME_LIMIT</x:v>
      </x:c>
      <x:c r="AC24" s="11" t="str">
        <x:v>M-V2V-01: candidati e velocità relativa scalare osservati; 0 assegnazioni VEHICLE applicate; stale 48,186528% senza lag/violazioni.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DA_ESEGUIRE_FASI_SUCCESSIVE</x:v>
      </x:c>
      <x:c r="AC25" s="11" t="str">
        <x:v>Configurazione non eseguita durante G02 principale.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DA_ESEGUIRE_FASI_SUCCESSIVE</x:v>
      </x:c>
      <x:c r="AC26" s="11" t="str">
        <x:v>Configurazione non eseguita durante G02 principale.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DA_ESEGUIRE_FASI_SUCCESSIVE</x:v>
      </x:c>
      <x:c r="AC27" s="11" t="str">
        <x:v>Configurazione non eseguita durante G02 principale.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DA_ESEGUIRE_FASI_SUCCESSIVE</x:v>
      </x:c>
      <x:c r="AC28" s="11" t="str">
        <x:v>Configurazione non eseguita durante G02 principale.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DA_ESEGUIRE_FASI_SUCCESSIVE</x:v>
      </x:c>
      <x:c r="AC29" s="11" t="str">
        <x:v>Configurazione non eseguita durante G02 principale.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DA_ESEGUIRE_FASI_SUCCESSIVE</x:v>
      </x:c>
      <x:c r="AC30" s="11" t="str">
        <x:v>Configurazione non eseguita durante G02 principale.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DA_ESEGUIRE_FASI_SUCCESSIVE</x:v>
      </x:c>
      <x:c r="AC31" s="11" t="str">
        <x:v>Configurazione non eseguita durante G02 principale.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DA_ESEGUIRE_FASI_SUCCESSIVE</x:v>
      </x:c>
      <x:c r="AC32" s="11" t="str">
        <x:v>Configurazione non eseguita durante G02 principale.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DA_ESEGUIRE_FASI_SUCCESSIVE</x:v>
      </x:c>
      <x:c r="AC33" s="11" t="str">
        <x:v>Configurazione non eseguita durante G02 principale.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3e91ca4bb04f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run — G04 conclusa, G05 da avviare dopo commit/push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/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G06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G06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G06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G06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G06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309" t="str">
        <x:v>PASS</x:v>
      </x:c>
      <x:c r="L63" s="11" t="str">
        <x:v>log-20260623-191234-MaGaLiteratureBasedUrbanStudy</x:v>
      </x:c>
      <x:c r="M63" s="11" t="str">
        <x:v>LITERATURE_SMOKE_TEST_PASSED</x:v>
      </x:c>
      <x:c r="N63" s="11" t="n">
        <x:v>0</x:v>
      </x:c>
      <x:c r="O63" s="11" t="str">
        <x:v>Fallback locale e access link unavailable.</x:v>
      </x:c>
      <x:c r="P63" s="11" t="str">
        <x:v>Run tecnica PASS; task 5901; GA 416/416/411; stale 5 (1,201923%); L/V/E/C 13894/0/0/0; lag 0; violazioni 0.</x:v>
      </x:c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309" t="str">
        <x:v>PASS</x:v>
      </x:c>
      <x:c r="L64" s="11" t="str">
        <x:v>log-20260623-191349-MaGaLiteratureBasedUrbanStudy</x:v>
      </x:c>
      <x:c r="M64" s="11" t="str">
        <x:v>LITERATURE_SMOKE_TEST_PASSED</x:v>
      </x:c>
      <x:c r="N64" s="11" t="n">
        <x:v>0</x:v>
      </x:c>
      <x:c r="O64" s="11" t="str">
        <x:v>Gateway rsu_0.</x:v>
      </x:c>
      <x:c r="P64" s="11" t="str">
        <x:v>Run tecnica PASS; task 5299; GA 370/370/369; stale 1 (0,270270%); candidati EDGE/CLOUD osservati; 0 assegnazioni remote applicate.</x:v>
      </x:c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309" t="str">
        <x:v>PASS</x:v>
      </x:c>
      <x:c r="L65" s="11" t="str">
        <x:v>log-20260623-222730-MaGaLiteratureBasedUrbanStudy</x:v>
      </x:c>
      <x:c r="M65" s="11" t="str">
        <x:v>LITERATURE_SMOKE_TEST_PASSED</x:v>
      </x:c>
      <x:c r="N65" s="11" t="n">
        <x:v>0</x:v>
      </x:c>
      <x:c r="O65" s="11" t="str">
        <x:v>Gateway rsu_1.</x:v>
      </x:c>
      <x:c r="P65" s="11" t="str">
        <x:v>Run tecnica PASS; task 2887; GA 427/427/427; stale 0; 2 assegnazioni CLOUD applicate via gateway geometrico; placeholder 0.</x:v>
      </x:c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311" t="str">
        <x:v>PASS_CON_LIMITAZIONE</x:v>
      </x:c>
      <x:c r="L66" s="11" t="str">
        <x:v>log-20260623-222831-MaGaLiteratureBasedUrbanStudy</x:v>
      </x:c>
      <x:c r="M66" s="11" t="str">
        <x:v>LITERATURE_SMOKE_TEST_PASSED</x:v>
      </x:c>
      <x:c r="N66" s="11" t="n">
        <x:v>0</x:v>
      </x:c>
      <x:c r="O66" s="11" t="str">
        <x:v>Gateway switch e handover.</x:v>
      </x:c>
      <x:c r="P66" s="11" t="str">
        <x:v>Run tecnica PASS; task 6141; GA 309/309/294; stale 15 (4,854369%); nessuna transizione gateway dimostrata: T-098 NON_OSSERVATO.</x:v>
      </x:c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311" t="str">
        <x:v>PASS_CON_LIMITAZIONE</x:v>
      </x:c>
      <x:c r="L67" s="11" t="str">
        <x:v>log-20260623-222946-MaGaLiteratureBasedUrbanStudy</x:v>
      </x:c>
      <x:c r="M67" s="11" t="str">
        <x:v>LITERATURE_SMOKE_TEST_PASSED</x:v>
      </x:c>
      <x:c r="N67" s="11" t="n">
        <x:v>0</x:v>
      </x:c>
      <x:c r="O67" s="11" t="str">
        <x:v>Candidati e decisioni V2V.</x:v>
      </x:c>
      <x:c r="P67" s="11" t="str">
        <x:v>Run tecnica PASS; task 9396; GA 193/193/100; stale 93 (48,186528%); V2V metriche finite ma 0 assegnazioni VEHICLE applicate; lag 0; violazioni 0.</x:v>
      </x:c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DA_ESEGUIRE</x:v>
      </x:c>
      <x:c r="L68" s="11"/>
      <x:c r="M68" s="11"/>
      <x:c r="N68" s="11"/>
      <x:c r="O68" s="11" t="str">
        <x:v>Pressione CPU locale.</x:v>
      </x:c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DA_ESEGUIRE</x:v>
      </x:c>
      <x:c r="L69" s="11"/>
      <x:c r="M69" s="11"/>
      <x:c r="N69" s="11"/>
      <x:c r="O69" s="11" t="str">
        <x:v>Pressione CPU edge.</x:v>
      </x:c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DA_ESEGUIRE</x:v>
      </x:c>
      <x:c r="L70" s="11"/>
      <x:c r="M70" s="11"/>
      <x:c r="N70" s="11"/>
      <x:c r="O70" s="11" t="str">
        <x:v>Pressione CPU cloud.</x:v>
      </x:c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DA_ESEGUIRE</x:v>
      </x:c>
      <x:c r="L71" s="11"/>
      <x:c r="M71" s="11"/>
      <x:c r="N71" s="11"/>
      <x:c r="O71" s="11" t="str">
        <x:v>Pressione banda CELL.</x:v>
      </x:c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DA_ESEGUIRE</x:v>
      </x:c>
      <x:c r="L72" s="11"/>
      <x:c r="M72" s="11"/>
      <x:c r="N72" s="11"/>
      <x:c r="O72" s="11" t="str">
        <x:v>Pressione banda V2V.</x:v>
      </x:c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DA_ESEGUIRE</x:v>
      </x:c>
      <x:c r="L73" s="11"/>
      <x:c r="M73" s="11"/>
      <x:c r="N73" s="11"/>
      <x:c r="O73" s="11" t="str">
        <x:v>Latenza base elevata.</x:v>
      </x:c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DA_ESEGUIRE</x:v>
      </x:c>
      <x:c r="L74" s="11"/>
      <x:c r="M74" s="11"/>
      <x:c r="N74" s="11"/>
      <x:c r="O74" s="11" t="str">
        <x:v>Finestre sparse.</x:v>
      </x:c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DA_ESEGUIRE</x:v>
      </x:c>
      <x:c r="L75" s="11"/>
      <x:c r="M75" s="11"/>
      <x:c r="N75" s="11"/>
      <x:c r="O75" s="11" t="str">
        <x:v>Scaling ADAPTIVE separato.</x:v>
      </x:c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DA_ESEGUIRE</x:v>
      </x:c>
      <x:c r="L76" s="11"/>
      <x:c r="M76" s="11"/>
      <x:c r="N76" s="11"/>
      <x:c r="O76" s="11" t="str">
        <x:v>Stale controllato con ritardo artificiale.</x:v>
      </x:c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563ed868c844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dei test — T-090–T-099 valutati con evidenze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DA_ESEGUIRE</x:v>
      </x:c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DA_ESEGUIRE</x:v>
      </x:c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DA_ESEGUIRE</x:v>
      </x:c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DA_ESEGUIRE</x:v>
      </x:c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DA_ESEGUIRE</x:v>
      </x:c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DA_ESEGUIRE</x:v>
      </x:c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DA_ESEGUIRE</x:v>
      </x:c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DA_ESEGUIRE</x:v>
      </x:c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DA_ESEGUIRE</x:v>
      </x:c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309" t="str">
        <x:v>PASS</x:v>
      </x:c>
      <x:c r="K63" s="11" t="str">
        <x:v>14.233 geni LOCAL_CONVENTIONAL: componenti mobility e Pmob pari a 0; run M-BACKGROUND-01 tecnica PASS.</x:v>
      </x:c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Distanza/raggio RSU</x:v>
      </x:c>
      <x:c r="E64" s="11" t="str">
        <x:v>Diretto</x:v>
      </x:c>
      <x:c r="F64" s="11" t="str">
        <x:v>CFG-M-RSU0; CFG-M-RSU1</x:v>
      </x:c>
      <x:c r="G64" s="11" t="str">
        <x:v>Sì</x:v>
      </x:c>
      <x:c r="H64" s="11" t="str">
        <x:v>mobility breakdown</x:v>
      </x:c>
      <x:c r="I64" s="11" t="str">
        <x:v>phiLink cresce verso bordo.</x:v>
      </x:c>
      <x:c r="J64" s="313" t="str">
        <x:v>EVIDENZA_PARZIALE</x:v>
      </x:c>
      <x:c r="K64" s="11" t="str">
        <x:v>Candidati EDGE geometrici osservati; un gene EDGE in risultato STALE_DISCARDED. Nessuna assegnazione EDGE applicata.</x:v>
      </x:c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311" t="str">
        <x:v>PASS_CON_LIMITAZIONE</x:v>
      </x:c>
      <x:c r="K65" s="11" t="str">
        <x:v>Due geni CLOUD_GATEWAY_GEOMETRIC applicati in M-RSU1-01; gateway switch non osservato.</x:v>
      </x:c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311" t="str">
        <x:v>PASS_CON_LIMITAZIONE</x:v>
      </x:c>
      <x:c r="K66" s="11" t="str">
        <x:v>46 valori di velocità relativa scalare V2V finiti; nessuna assegnazione VEHICLE applicata.</x:v>
      </x:c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completion &gt; coverage</x:v>
      </x:c>
      <x:c r="E67" s="11" t="str">
        <x:v>Stress mirato</x:v>
      </x:c>
      <x:c r="F67" s="11" t="str">
        <x:v>CFG-M-SWITCH; CFG-R-RTT; CFG-R-CELLBW</x:v>
      </x:c>
      <x:c r="G67" s="11" t="str">
        <x:v>Sì</x:v>
      </x:c>
      <x:c r="H67" s="11" t="str">
        <x:v>phiCov, coverage insufficient</x:v>
      </x:c>
      <x:c r="I67" s="11" t="str">
        <x:v>Penalità o prefilter coerenti.</x:v>
      </x:c>
      <x:c r="J67" s="315" t="str">
        <x:v>NON_OSSERVATO</x:v>
      </x:c>
      <x:c r="K67" s="11" t="str">
        <x:v>Nessun gene con coverageSufficient=false e phiCov sempre 0 nelle evidenze raccolte.</x:v>
      </x:c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311" t="str">
        <x:v>PASS_CON_LIMITAZIONE</x:v>
      </x:c>
      <x:c r="K68" s="11" t="str">
        <x:v>phiLink remoto finito e coerente con distanza/raggio nei geni osservati; copertura dei casi limitata.</x:v>
      </x:c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risk</x:v>
      </x:c>
      <x:c r="D69" s="11" t="str">
        <x:v>phiHo</x:v>
      </x:c>
      <x:c r="E69" s="11" t="str">
        <x:v>Diretto</x:v>
      </x:c>
      <x:c r="F69" s="11" t="str">
        <x:v>CFG-M-SWITCH</x:v>
      </x:c>
      <x:c r="G69" s="11" t="str">
        <x:v>Sì</x:v>
      </x:c>
      <x:c r="H69" s="11" t="str">
        <x:v>phiHo/transitions</x:v>
      </x:c>
      <x:c r="I69" s="11" t="str">
        <x:v>Rischio maggiore vicino allo switch.</x:v>
      </x:c>
      <x:c r="J69" s="313" t="str">
        <x:v>EVIDENZA_PARZIALE</x:v>
      </x:c>
      <x:c r="K69" s="11" t="str">
        <x:v>phiHo non nullo osservato in geni EDGE/CLOUD; nessuna transizione gateway per dimostrare l'aumento vicino allo switch.</x:v>
      </x:c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311" t="str">
        <x:v>PASS_CON_LIMITAZIONE</x:v>
      </x:c>
      <x:c r="K70" s="11" t="str">
        <x:v>Pmob coincide con 1·phiCov + 0,5·phiLink + 0,5·phiHo nei geni remoti osservati.</x:v>
      </x:c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</x:v>
      </x:c>
      <x:c r="D71" s="11" t="str">
        <x:v>rsu_0 -&gt; rsu_1 o viceversa</x:v>
      </x:c>
      <x:c r="E71" s="11" t="str">
        <x:v>Diretto</x:v>
      </x:c>
      <x:c r="F71" s="11" t="str">
        <x:v>CFG-M-SWITCH</x:v>
      </x:c>
      <x:c r="G71" s="11" t="str">
        <x:v>Sì</x:v>
      </x:c>
      <x:c r="H71" s="11" t="str">
        <x:v>access link transitions</x:v>
      </x:c>
      <x:c r="I71" s="11" t="str">
        <x:v>Almeno una transizione.</x:v>
      </x:c>
      <x:c r="J71" s="315" t="str">
        <x:v>NON_OSSERVATO</x:v>
      </x:c>
      <x:c r="K71" s="11" t="str">
        <x:v>G04_gateway_transitions.csv contiene solo l'intestazione: transizioni osservate = 0.</x:v>
      </x:c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309" t="str">
        <x:v>PASS</x:v>
      </x:c>
      <x:c r="K72" s="11" t="str">
        <x:v>0 geni CLOUD_STABLE_PLACEHOLDER su 51.683 geni; cloud geometrico via gateway quando applicato.</x:v>
      </x:c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DA_ESEGUIRE</x:v>
      </x:c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DA_ESEGUIRE</x:v>
      </x:c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DA_ESEGUIRE</x:v>
      </x:c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DA_ESEGUIRE</x:v>
      </x:c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DA_ESEGUIRE</x:v>
      </x:c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DA_ESEGUIRE</x:v>
      </x:c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DA_ESEGUIRE</x:v>
      </x:c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DA_ESEGUIRE</x:v>
      </x:c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DA_ESEGUIRE</x:v>
      </x:c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sourceMode=MOSAIC_LIVE nei report dettagliati verificati.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gaParameterScalingMode=STATIC in tutte le 45 run principali.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DA_ESEGUIRE</x:v>
      </x:c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presenti e non vuoti.</x:v>
      </x:c>
      <x:c r="J85" s="223" t="str">
        <x:v>PASS</x:v>
      </x:c>
      <x:c r="K85" s="223" t="str">
        <x:v>Reporting obbligatorio presente e indicizzato; validator senza errori.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tutte run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EVIDENZA_PARZIALE</x:v>
      </x:c>
      <x:c r="K86" s="224" t="str">
        <x:v>JSON risultato e detailed report validati; parsing integrale di ogni CSV/JSONL non ancora auditato.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tutte run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Submitted/completed/applied/stale aritmeticamente coerenti in 45/45 run.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tutte run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taskCompletionModel=NOT_IMPLEMENTED dichiarato in tutte le run.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tutte run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DA_ESEGUIRE</x:v>
      </x:c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tutte run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EVIDENZA_PARZIALE</x:v>
      </x:c>
      <x:c r="K90" s="224" t="str">
        <x:v>Validator senza errori; non è stato eseguito uno scan numerico indipendente di ogni artefatto testuale.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21bea5711a4f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degli output e delle metriche — aggiornato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333" t="str">
        <x:v>Stato</x:v>
      </x:c>
      <x:c r="B166" s="334" t="str">
        <x:v>OPTIONAL_STRESS_LIMIT</x:v>
      </x:c>
      <x:c r="C166" s="334" t="str">
        <x:v>G03 closure</x:v>
      </x:c>
      <x:c r="D166" s="334" t="str">
        <x:v>Run opzionale che espone un limite del profilo stress.</x:v>
      </x:c>
      <x:c r="E166" s="334" t="str">
        <x:v>Non equivale a regressione dei profili stabili.</x:v>
      </x:c>
      <x:c r="F166" s="334" t="str">
        <x:v>Stress opzionale</x:v>
      </x:c>
      <x:c r="G166" s="334" t="str">
        <x:v>No</x:v>
      </x:c>
      <x:c r="H166" s="335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319" t="str">
        <x:v>G04-OUT-01</x:v>
      </x:c>
      <x:c r="B167" s="92" t="str">
        <x:v>G04_batch_summary_corrected.json</x:v>
      </x:c>
      <x:c r="C167" s="92" t="str">
        <x:v>JSON</x:v>
      </x:c>
      <x:c r="D167" s="92" t="str">
        <x:v>G04</x:v>
      </x:c>
      <x:c r="E167" s="92" t="str">
        <x:v>Riepilogo corretto delle cinque run</x:v>
      </x:c>
      <x:c r="F167" s="92" t="str">
        <x:v>Usare al posto del riepilogo iniziale incompleto</x:v>
      </x:c>
      <x:c r="G167" s="92" t="str">
        <x:v>5/5 run PASS</x:v>
      </x:c>
      <x:c r="H167" s="320" t="str">
        <x:v>Fonte closure</x:v>
      </x:c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319" t="str">
        <x:v>G04-OUT-02</x:v>
      </x:c>
      <x:c r="B168" s="92" t="str">
        <x:v>G04_run_metrics_corrected.csv</x:v>
      </x:c>
      <x:c r="C168" s="92" t="str">
        <x:v>CSV</x:v>
      </x:c>
      <x:c r="D168" s="92" t="str">
        <x:v>G04</x:v>
      </x:c>
      <x:c r="E168" s="92" t="str">
        <x:v>Metriche autorevoli per singola run</x:v>
      </x:c>
      <x:c r="F168" s="92" t="str">
        <x:v>Non calcolare completion rate</x:v>
      </x:c>
      <x:c r="G168" s="92" t="str">
        <x:v>task, GA, stale, runtime, assegnazioni</x:v>
      </x:c>
      <x:c r="H168" s="320" t="str">
        <x:v>Fonte closure</x:v>
      </x:c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319" t="str">
        <x:v>G04-OUT-03</x:v>
      </x:c>
      <x:c r="B169" s="92" t="str">
        <x:v>G04_full_snapshot_mobility_trace.csv</x:v>
      </x:c>
      <x:c r="C169" s="92" t="str">
        <x:v>CSV</x:v>
      </x:c>
      <x:c r="D169" s="92" t="str">
        <x:v>G04</x:v>
      </x:c>
      <x:c r="E169" s="92" t="str">
        <x:v>Traccia mobility-aware estratta dagli snapshot</x:v>
      </x:c>
      <x:c r="F169" s="92" t="str">
        <x:v>Copertura temporale limitata agli snapshot raccolti</x:v>
      </x:c>
      <x:c r="G169" s="92" t="str">
        <x:v>gateway, candidati, relative speed</x:v>
      </x:c>
      <x:c r="H169" s="320" t="str">
        <x:v>Fonte diagnostica</x:v>
      </x:c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319" t="str">
        <x:v>G04-OUT-04</x:v>
      </x:c>
      <x:c r="B170" s="92" t="str">
        <x:v>G04_gateway_transitions.csv</x:v>
      </x:c>
      <x:c r="C170" s="92" t="str">
        <x:v>CSV</x:v>
      </x:c>
      <x:c r="D170" s="92" t="str">
        <x:v>G04</x:v>
      </x:c>
      <x:c r="E170" s="92" t="str">
        <x:v>Transizioni gateway osservate</x:v>
      </x:c>
      <x:c r="F170" s="92" t="str">
        <x:v>Solo intestazione = zero transizioni</x:v>
      </x:c>
      <x:c r="G170" s="92" t="str">
        <x:v>Non dichiarare T-098 PASS</x:v>
      </x:c>
      <x:c r="H170" s="320" t="str">
        <x:v>Fonte negativa</x:v>
      </x:c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321" t="str">
        <x:v>G04-OUT-05</x:v>
      </x:c>
      <x:c r="B171" s="322" t="str">
        <x:v>T090_T099_results.csv</x:v>
      </x:c>
      <x:c r="C171" s="322" t="str">
        <x:v>CSV</x:v>
      </x:c>
      <x:c r="D171" s="322" t="str">
        <x:v>G04</x:v>
      </x:c>
      <x:c r="E171" s="322" t="str">
        <x:v>Verdetti funzionali formalizzati</x:v>
      </x:c>
      <x:c r="F171" s="322" t="str">
        <x:v>Distinguere run PASS da osservabilità</x:v>
      </x:c>
      <x:c r="G171" s="322" t="str">
        <x:v>10 test, 0 FAIL</x:v>
      </x:c>
      <x:c r="H171" s="323" t="str">
        <x:v>Fonte matrici</x:v>
      </x:c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4fd0cea5974c4c0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Oracoli e criteri di accettazione — aggiornati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333" t="str">
        <x:v>O-047</x:v>
      </x:c>
      <x:c r="B42" s="334" t="str">
        <x:v>SOFT / STRESS</x:v>
      </x:c>
      <x:c r="C42" s="334" t="str">
        <x:v>Endurance</x:v>
      </x:c>
      <x:c r="D42" s="334" t="str">
        <x:v>Run opzionale high_density non completa</x:v>
      </x:c>
      <x:c r="E42" s="334" t="str">
        <x:v>Registrare tempo raggiunto e causa; non forzare PASS</x:v>
      </x:c>
      <x:c r="F42" s="334" t="str">
        <x:v>Documentare limite e non ripetere selettivamente</x:v>
      </x:c>
      <x:c r="G42" s="334" t="str">
        <x:v>CFG-H-S-EXT</x:v>
      </x:c>
      <x:c r="H42" s="335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319" t="str">
        <x:v>O-048</x:v>
      </x:c>
      <x:c r="B43" s="92" t="str">
        <x:v>G04</x:v>
      </x:c>
      <x:c r="C43" s="92" t="str">
        <x:v>PASS tecnico ≠ PASS funzionale</x:v>
      </x:c>
      <x:c r="D43" s="92" t="str">
        <x:v>Hard</x:v>
      </x:c>
      <x:c r="E43" s="92" t="str">
        <x:v>Validator, errori, lag e violazioni certificano la run, non tutte le funzioni associate.</x:v>
      </x:c>
      <x:c r="F43" s="92" t="str">
        <x:v>Separare sempre stato run e verdetto test.</x:v>
      </x:c>
      <x:c r="G43" s="92" t="str">
        <x:v>Audit G04</x:v>
      </x:c>
      <x:c r="H43" s="320" t="str">
        <x:v>Applicato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319" t="str">
        <x:v>O-049</x:v>
      </x:c>
      <x:c r="B44" s="92" t="str">
        <x:v>G04</x:v>
      </x:c>
      <x:c r="C44" s="92" t="str">
        <x:v>Gateway switch</x:v>
      </x:c>
      <x:c r="D44" s="92" t="str">
        <x:v>Hard</x:v>
      </x:c>
      <x:c r="E44" s="92" t="str">
        <x:v>T-098 PASS solo con almeno una riga di transizione dimostrata.</x:v>
      </x:c>
      <x:c r="F44" s="92" t="str">
        <x:v>CSV con sola intestazione implica NON_OSSERVATO.</x:v>
      </x:c>
      <x:c r="G44" s="92" t="str">
        <x:v>G04_gateway_transitions.csv</x:v>
      </x:c>
      <x:c r="H44" s="320" t="str">
        <x:v>Applicato</x:v>
      </x:c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19" t="str">
        <x:v>O-050</x:v>
      </x:c>
      <x:c r="B45" s="92" t="str">
        <x:v>G04</x:v>
      </x:c>
      <x:c r="C45" s="92" t="str">
        <x:v>Strategia applicata vs stale</x:v>
      </x:c>
      <x:c r="D45" s="92" t="str">
        <x:v>Hard</x:v>
      </x:c>
      <x:c r="E45" s="92" t="str">
        <x:v>Un gene in STALE_DISCARDED non prova una decisione applicata.</x:v>
      </x:c>
      <x:c r="F45" s="92" t="str">
        <x:v>Etichettare evidenza parziale.</x:v>
      </x:c>
      <x:c r="G45" s="92" t="str">
        <x:v>JSONL decisioni</x:v>
      </x:c>
      <x:c r="H45" s="320" t="str">
        <x:v>Applicato</x:v>
      </x:c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O-051</x:v>
      </x:c>
      <x:c r="B46" s="92" t="str">
        <x:v>G04</x:v>
      </x:c>
      <x:c r="C46" s="92" t="str">
        <x:v>Task completion</x:v>
      </x:c>
      <x:c r="D46" s="92" t="str">
        <x:v>Hard</x:v>
      </x:c>
      <x:c r="E46" s="92" t="str">
        <x:v>taskCompletionModel=NOT_IMPLEMENTED.</x:v>
      </x:c>
      <x:c r="F46" s="92" t="str">
        <x:v>Non produrre completion rate.</x:v>
      </x:c>
      <x:c r="G46" s="92" t="str">
        <x:v>Result JSON</x:v>
      </x:c>
      <x:c r="H46" s="320" t="str">
        <x:v>Applicato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21" t="str">
        <x:v>O-052</x:v>
      </x:c>
      <x:c r="B47" s="322" t="str">
        <x:v>G04</x:v>
      </x:c>
      <x:c r="C47" s="322" t="str">
        <x:v>SUMO metrics null</x:v>
      </x:c>
      <x:c r="D47" s="322" t="str">
        <x:v>Hard</x:v>
      </x:c>
      <x:c r="E47" s="322" t="str">
        <x:v>null non equivale a zero.</x:v>
      </x:c>
      <x:c r="F47" s="322" t="str">
        <x:v>Non dichiarare numeri non prodotti.</x:v>
      </x:c>
      <x:c r="G47" s="322" t="str">
        <x:v>Result JSON</x:v>
      </x:c>
      <x:c r="H47" s="323" t="str">
        <x:v>Applicato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7aa50029f348f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della campagna — aggiornata dopo G04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309" t="str">
        <x:v>PASS</x:v>
      </x:c>
      <x:c r="F13" s="11" t="str">
        <x:v>materialization report</x:v>
      </x:c>
      <x:c r="G13" s="11" t="str">
        <x:v>Focus route delle cinque configurazioni G04 documentato nei result JSON e nelle configurazioni.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309" t="str">
        <x:v>PASS</x:v>
      </x:c>
      <x:c r="F21" s="224" t="str">
        <x:v>Validator + audit parser</x:v>
      </x:c>
      <x:c r="G21" s="224" t="str">
        <x:v>CSV, JSON e JSONL usati nell’audit G04 risultano parsabili; gli hash dei bundle sono coerenti.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309" t="str">
        <x:v>PASS</x:v>
      </x:c>
      <x:c r="F28" s="11" t="str">
        <x:v>mobility reports</x:v>
      </x:c>
      <x:c r="G28" s="11" t="str">
        <x:v>Audit T-090–T-099 completato con stati normalizzati e limiti espliciti.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395" t="str">
        <x:v>PASS_CON_LIMITAZIONE</x:v>
      </x:c>
      <x:c r="F32" s="11" t="str">
        <x:v>Catalogo_test</x:v>
      </x:c>
      <x:c r="G32" s="11" t="str">
        <x:v>T-090–T-099 tutti valutati: 2 PASS, 4 PASS_CON_LIMITAZIONE, 2 EVIDENZA_PARZIALE, 2 NON_OSSERVATO, 0 FAIL.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differita dopo 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verranno esposte con modifiche minime su branch sperimentale dopo G06.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DEFERRED_AFTER_G06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33" t="str">
        <x:v>C-042</x:v>
      </x:c>
      <x:c r="B45" s="334" t="str">
        <x:v>Dopo</x:v>
      </x:c>
      <x:c r="C45" s="334" t="str">
        <x:v>Limite stress opzionale registrato senza rerun selettivo</x:v>
      </x:c>
      <x:c r="D45" s="334" t="str">
        <x:v>Sì</x:v>
      </x:c>
      <x:c r="E45" s="334" t="str">
        <x:v>PASS</x:v>
      </x:c>
      <x:c r="F45" s="334" t="str">
        <x:v>G03_stress_limit_evidence.json</x:v>
      </x:c>
      <x:c r="G45" s="335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C-043</x:v>
      </x:c>
      <x:c r="B46" s="92" t="str">
        <x:v>Dopo</x:v>
      </x:c>
      <x:c r="C46" s="92" t="str">
        <x:v>Cinque run G04 verificate senza rerun</x:v>
      </x:c>
      <x:c r="D46" s="92" t="str">
        <x:v>Sì</x:v>
      </x:c>
      <x:c r="E46" s="92" t="str">
        <x:v>PASS</x:v>
      </x:c>
      <x:c r="F46" s="92" t="str">
        <x:v>Result JSON e bundle offline</x:v>
      </x:c>
      <x:c r="G46" s="320" t="str">
        <x:v>5/5 run tecnicamente PASS; hash e CRC verificati.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19" t="str">
        <x:v>C-044</x:v>
      </x:c>
      <x:c r="B47" s="92" t="str">
        <x:v>Dopo</x:v>
      </x:c>
      <x:c r="C47" s="92" t="str">
        <x:v>Verdetti T-090–T-099 formalizzati</x:v>
      </x:c>
      <x:c r="D47" s="92" t="str">
        <x:v>Sì</x:v>
      </x:c>
      <x:c r="E47" s="92" t="str">
        <x:v>PASS</x:v>
      </x:c>
      <x:c r="F47" s="92" t="str">
        <x:v>T090_T099_results.csv</x:v>
      </x:c>
      <x:c r="G47" s="320" t="str">
        <x:v>10/10 valutati; 0 FAIL; limiti di osservabilità espliciti.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319" t="str">
        <x:v>C-045</x:v>
      </x:c>
      <x:c r="B48" s="92" t="str">
        <x:v>Dopo</x:v>
      </x:c>
      <x:c r="C48" s="92" t="str">
        <x:v>Gateway switch non inventato</x:v>
      </x:c>
      <x:c r="D48" s="92" t="str">
        <x:v>Sì</x:v>
      </x:c>
      <x:c r="E48" s="92" t="str">
        <x:v>PASS</x:v>
      </x:c>
      <x:c r="F48" s="92" t="str">
        <x:v>G04_gateway_transitions.csv</x:v>
      </x:c>
      <x:c r="G48" s="320" t="str">
        <x:v>T-098 NON_OSSERVATO; CSV senza transizioni.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319" t="str">
        <x:v>C-046</x:v>
      </x:c>
      <x:c r="B49" s="92" t="str">
        <x:v>Dopo</x:v>
      </x:c>
      <x:c r="C49" s="92" t="str">
        <x:v>Stale V2V interpretato correttamente</x:v>
      </x:c>
      <x:c r="D49" s="92" t="str">
        <x:v>Sì</x:v>
      </x:c>
      <x:c r="E49" s="92" t="str">
        <x:v>PASS_CON_LIMITAZIONE</x:v>
      </x:c>
      <x:c r="F49" s="92" t="str">
        <x:v>M-V2V-01 result</x:v>
      </x:c>
      <x:c r="G49" s="320" t="str">
        <x:v>48,186528%; nessun lag/violazione; non classificato automaticamente come bug core.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321" t="str">
        <x:v>C-047</x:v>
      </x:c>
      <x:c r="B50" s="322" t="str">
        <x:v>Dopo</x:v>
      </x:c>
      <x:c r="C50" s="322" t="str">
        <x:v>G05 indicato come prossimo gruppo</x:v>
      </x:c>
      <x:c r="D50" s="322" t="str">
        <x:v>Sì</x:v>
      </x:c>
      <x:c r="E50" s="322" t="str">
        <x:v>PASS</x:v>
      </x:c>
      <x:c r="F50" s="322" t="str">
        <x:v>Matrici post-G04</x:v>
      </x:c>
      <x:c r="G50" s="323" t="str">
        <x:v>G02B resta DEFERRED_AFTER_G06.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440d7e0169402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a G04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33" t="str">
        <x:v>L-013</x:v>
      </x:c>
      <x:c r="B16" s="334" t="str">
        <x:v>Run stress opzionale</x:v>
      </x:c>
      <x:c r="C16" s="334" t="str">
        <x:v>Può terminare prima della durata e costituire un risultato.</x:v>
      </x:c>
      <x:c r="D16" s="334" t="str">
        <x:v>Tempo raggiunto e causa possono essere riportati.</x:v>
      </x:c>
      <x:c r="E16" s="334" t="str">
        <x:v>Che l’interruzione sia un PASS o una regressione delle configurazioni stabili.</x:v>
      </x:c>
      <x:c r="F16" s="334" t="str">
        <x:v>Usare OPTIONAL_STRESS_LIMIT e conservare l’evidenza.</x:v>
      </x:c>
      <x:c r="G16" s="335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L-014</x:v>
      </x:c>
      <x:c r="B17" s="92" t="str">
        <x:v>Osservabilità gateway switch</x:v>
      </x:c>
      <x:c r="C17" s="92" t="str">
        <x:v>Nessuna transizione registrata in G04.</x:v>
      </x:c>
      <x:c r="D17" s="92" t="str">
        <x:v>Si può affermare che la run switch è tecnicamente valida.</x:v>
      </x:c>
      <x:c r="E17" s="92" t="str">
        <x:v>Non si può affermare che lo switch sia stato osservato.</x:v>
      </x:c>
      <x:c r="F17" s="92" t="str">
        <x:v>T-098 NON_OSSERVATO; nessun rerun automatico.</x:v>
      </x:c>
      <x:c r="G17" s="320" t="str">
        <x:v>G04_gateway_transitions.csv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L-015</x:v>
      </x:c>
      <x:c r="B18" s="92" t="str">
        <x:v>Decisioni V2V</x:v>
      </x:c>
      <x:c r="C18" s="92" t="str">
        <x:v>Candidati e velocità relativa osservati; 0 assegnazioni VEHICLE applicate.</x:v>
      </x:c>
      <x:c r="D18" s="92" t="str">
        <x:v>Il modello scalare produce metriche finite.</x:v>
      </x:c>
      <x:c r="E18" s="92" t="str">
        <x:v>Che il MA-GA abbia scelto V2V nelle strategie applicate.</x:v>
      </x:c>
      <x:c r="F18" s="92" t="str">
        <x:v>T-093 PASS_CON_LIMITAZIONE.</x:v>
      </x:c>
      <x:c r="G18" s="320" t="str">
        <x:v>G04 observability evidence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19" t="str">
        <x:v>L-016</x:v>
      </x:c>
      <x:c r="B19" s="92" t="str">
        <x:v>Copertura insufficiente</x:v>
      </x:c>
      <x:c r="C19" s="92" t="str">
        <x:v>phiCov sempre 0 nelle evidenze G04.</x:v>
      </x:c>
      <x:c r="D19" s="92" t="str">
        <x:v>Il caso osservato è coverage sufficient.</x:v>
      </x:c>
      <x:c r="E19" s="92" t="str">
        <x:v>Che la penalità sia stata attivata live.</x:v>
      </x:c>
      <x:c r="F19" s="92" t="str">
        <x:v>T-094 NON_OSSERVATO; rivalutare in G05 RTT/CELLBW.</x:v>
      </x:c>
      <x:c r="G19" s="320" t="str">
        <x:v>T090_T099_results.csv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321" t="str">
        <x:v>L-017</x:v>
      </x:c>
      <x:c r="B20" s="322" t="str">
        <x:v>Stale V2V</x:v>
      </x:c>
      <x:c r="C20" s="322" t="str">
        <x:v>M-V2V-01 stale ratio 48,186528%.</x:v>
      </x:c>
      <x:c r="D20" s="322" t="str">
        <x:v>È un limite operativo della coordinazione asincrona nella configurazione.</x:v>
      </x:c>
      <x:c r="E20" s="322" t="str">
        <x:v>Che sia automaticamente un errore del core MA-GA.</x:v>
      </x:c>
      <x:c r="F20" s="322" t="str">
        <x:v>Documentare con lag 0, violazioni 0 e validator PASS.</x:v>
      </x:c>
      <x:c r="G20" s="323" t="str">
        <x:v>M-V2V-01 result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ecf1871ac6fd4be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G04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333" t="str">
        <x:v>S-11</x:v>
      </x:c>
      <x:c r="B14" s="334" t="str">
        <x:v>Decisione sequenza G02B</x:v>
      </x:c>
      <x:c r="C14" s="334" t="str">
        <x:v>Decisione utente</x:v>
      </x:c>
      <x:c r="D14" s="334" t="str">
        <x:v>G02B differita dopo G06 e prima di G07.</x:v>
      </x:c>
      <x:c r="E14" s="334" t="str">
        <x:v>Contesto progetto 2026-06-23</x:v>
      </x:c>
      <x:c r="F14" s="335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319" t="str">
        <x:v>S-12</x:v>
      </x:c>
      <x:c r="B15" s="92" t="str">
        <x:v>Bundle tecnico G04</x:v>
      </x:c>
      <x:c r="C15" s="92" t="str">
        <x:v>ZIP</x:v>
      </x:c>
      <x:c r="D15" s="92" t="str">
        <x:v>Cinque run, result JSON e report tecnici.</x:v>
      </x:c>
      <x:c r="E15" s="92" t="str">
        <x:v>G04_evidence_collection_PASS_20260623-222722.zip</x:v>
      </x:c>
      <x:c r="F15" s="320" t="str">
        <x:v>SHA-256 b175f528…64f4d5.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19" t="str">
        <x:v>S-13</x:v>
      </x:c>
      <x:c r="B16" s="92" t="str">
        <x:v>Bundle offline corretto G04</x:v>
      </x:c>
      <x:c r="C16" s="92" t="str">
        <x:v>ZIP</x:v>
      </x:c>
      <x:c r="D16" s="92" t="str">
        <x:v>Raccolta autorevole per audit e metriche corrette.</x:v>
      </x:c>
      <x:c r="E16" s="92" t="str">
        <x:v>G04_full_offline_audit_evidence_20260623-224200.zip</x:v>
      </x:c>
      <x:c r="F16" s="320" t="str">
        <x:v>SHA-256 3c4de2c7…c16d75.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S-14</x:v>
      </x:c>
      <x:c r="B17" s="92" t="str">
        <x:v>Definizioni T-090–T-099</x:v>
      </x:c>
      <x:c r="C17" s="92" t="str">
        <x:v>CSV</x:v>
      </x:c>
      <x:c r="D17" s="92" t="str">
        <x:v>Criteri operativi dei test mobility-aware.</x:v>
      </x:c>
      <x:c r="E17" s="92" t="str">
        <x:v>T090_T099_DEFINIZIONI.csv</x:v>
      </x:c>
      <x:c r="F17" s="320" t="str">
        <x:v>Fonte criteri.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S-15</x:v>
      </x:c>
      <x:c r="B18" s="92" t="str">
        <x:v>Risultati formali G04</x:v>
      </x:c>
      <x:c r="C18" s="92" t="str">
        <x:v>CSV/MD</x:v>
      </x:c>
      <x:c r="D18" s="92" t="str">
        <x:v>Verdetti, motivazioni, limiti e report umano.</x:v>
      </x:c>
      <x:c r="E18" s="92" t="str">
        <x:v>T090_T099_results.csv; audit_G04_mobility_connectivity.md</x:v>
      </x:c>
      <x:c r="F18" s="320" t="str">
        <x:v>Fonte closure.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21" t="str">
        <x:v>S-16</x:v>
      </x:c>
      <x:c r="B19" s="322" t="str">
        <x:v>Result JSON autorevoli G04</x:v>
      </x:c>
      <x:c r="C19" s="322" t="str">
        <x:v>JSON</x:v>
      </x:c>
      <x:c r="D19" s="322" t="str">
        <x:v>Metriche e stato delle cinque run.</x:v>
      </x:c>
      <x:c r="E19" s="322" t="str">
        <x:v>run-summaries/G04_M-*_result.json</x:v>
      </x:c>
      <x:c r="F19" s="323" t="str">
        <x:v>taskCompletionModel NOT_IMPLEMENTED; SUMO metrics null.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1d48e4eeea0b4a1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G02, G03 e G04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chiusa con limite stress; G04 PASS_WITH_OBSERVABILITY_LIMITS; G05 prossimo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G06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G06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G06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104729</x:v>
      </x:c>
      <x:c r="D60" s="341" t="str">
        <x:v>PASS_WITH_OBSERVABILITY_LIMITS</x:v>
      </x:c>
      <x:c r="E60" s="93" t="str">
        <x:v>5/5 run tecniche PASS; 10 test valutati</x:v>
      </x:c>
      <x:c r="F60" s="93" t="str">
        <x:v>T-094 e T-098 NON_OSSERVATO; 0 FAIL.</x:v>
      </x:c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104729</x:v>
      </x:c>
      <x:c r="D61" s="343" t="str">
        <x:v>DA_ESEGUIRE</x:v>
      </x:c>
      <x:c r="E61" s="93" t="str">
        <x:v>Prossimo gruppo</x:v>
      </x:c>
      <x:c r="F61" s="93" t="str">
        <x:v>CPU, banda, RTT, saturazione, repair e fallback.</x:v>
      </x:c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Come da piano</x:v>
      </x:c>
      <x:c r="D62" s="343" t="str">
        <x:v>DA_ESEGUIRE</x:v>
      </x:c>
      <x:c r="E62" s="93" t="str">
        <x:v>Dopo G05</x:v>
      </x:c>
      <x:c r="F62" s="93" t="str">
        <x:v>Stale controllato e politiche temporali.</x:v>
      </x:c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343" t="str">
        <x:v>DA_ESEGUIRE</x:v>
      </x:c>
      <x:c r="E63" s="93" t="str">
        <x:v>Dopo G02B</x:v>
      </x:c>
      <x:c r="F63" s="93" t="str">
        <x:v>Integra anche le ablation finali.</x:v>
      </x:c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G03/G04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DEFERRED_AFTER_G06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G05</x:v>
      </x:c>
      <x:c r="C43" s="215" t="str">
        <x:v>Risorse e repair</x:v>
      </x:c>
      <x:c r="D43" s="215" t="str">
        <x:v>Poi G06,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G05</x:v>
      </x:c>
      <x:c r="C61" s="166" t="str">
        <x:v>G02B differita dopo G06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G05 → G06 → G02B → G07</x:v>
      </x:c>
      <x:c r="C74" s="11" t="str">
        <x:v>—</x:v>
      </x:c>
      <x:c r="D74" s="11" t="str">
        <x:v>G04 chiusa con limiti di osservabilità; G02B resta ultimo gruppo con nuove simulazioni.</x:v>
      </x:c>
      <x:c r="E74" s="11"/>
      <x:c r="F74" s="11"/>
      <x:c r="G74" s="11"/>
      <x:c r="H74" s="11"/>
    </x:row>
    <x:row r="75">
      <x:c r="A75" s="333" t="str">
        <x:v>Stato finale G04</x:v>
      </x:c>
      <x:c r="B75" s="334"/>
      <x:c r="C75" s="334"/>
      <x:c r="D75" s="335"/>
      <x:c r="E75" s="11"/>
      <x:c r="F75" s="11"/>
      <x:c r="G75" s="11"/>
      <x:c r="H75" s="11"/>
    </x:row>
    <x:row r="76">
      <x:c r="A76" s="319" t="str">
        <x:v>Metrica</x:v>
      </x:c>
      <x:c r="B76" s="92" t="str">
        <x:v>Valore</x:v>
      </x:c>
      <x:c r="C76" s="92" t="str">
        <x:v>Unità / stato</x:v>
      </x:c>
      <x:c r="D76" s="320" t="str">
        <x:v>Nota</x:v>
      </x:c>
      <x:c r="E76" s="11"/>
      <x:c r="F76" s="11"/>
      <x:c r="G76" s="11"/>
      <x:c r="H76" s="11"/>
    </x:row>
    <x:row r="77">
      <x:c r="A77" s="319" t="str">
        <x:v>Esito</x:v>
      </x:c>
      <x:c r="B77" s="92" t="str">
        <x:v>PASS_WITH_OBSERVABILITY_LIMITS</x:v>
      </x:c>
      <x:c r="C77" s="92" t="str">
        <x:v>G04</x:v>
      </x:c>
      <x:c r="D77" s="320" t="str">
        <x:v>5/5 run tecniche PASS; 10 test valutati; 0 FAIL.</x:v>
      </x:c>
      <x:c r="E77" s="11"/>
      <x:c r="F77" s="11"/>
      <x:c r="G77" s="11"/>
      <x:c r="H77" s="11"/>
    </x:row>
    <x:row r="78">
      <x:c r="A78" s="319" t="str">
        <x:v>Task generati</x:v>
      </x:c>
      <x:c r="B78" s="92" t="n">
        <x:v>29624</x:v>
      </x:c>
      <x:c r="C78" s="92" t="str">
        <x:v>task</x:v>
      </x:c>
      <x:c r="D78" s="320" t="str">
        <x:v>Somma delle cinque run; completion model non implementato.</x:v>
      </x:c>
      <x:c r="E78" s="11"/>
      <x:c r="F78" s="11"/>
      <x:c r="G78" s="11"/>
      <x:c r="H78" s="11"/>
    </x:row>
    <x:row r="79">
      <x:c r="A79" s="319" t="str">
        <x:v>GA sub/comp/appl</x:v>
      </x:c>
      <x:c r="B79" s="92" t="str">
        <x:v>1715/1715/1601</x:v>
      </x:c>
      <x:c r="C79" s="92" t="str">
        <x:v>job</x:v>
      </x:c>
      <x:c r="D79" s="320" t="str">
        <x:v>114 stale complessivi.</x:v>
      </x:c>
      <x:c r="E79" s="11"/>
      <x:c r="F79" s="11"/>
      <x:c r="G79" s="11"/>
      <x:c r="H79" s="11"/>
    </x:row>
    <x:row r="80">
      <x:c r="A80" s="319" t="str">
        <x:v>Stale ratio pesata</x:v>
      </x:c>
      <x:c r="B80" s="92" t="n">
        <x:v>6.647230320699708</x:v>
      </x:c>
      <x:c r="C80" s="92" t="str">
        <x:v>%</x:v>
      </x:c>
      <x:c r="D80" s="320" t="str">
        <x:v>M-V2V-01 = 48,186528%; non bug core automatico.</x:v>
      </x:c>
      <x:c r="E80" s="11"/>
      <x:c r="F80" s="11"/>
      <x:c r="G80" s="11"/>
      <x:c r="H80" s="11"/>
    </x:row>
    <x:row r="81">
      <x:c r="A81" s="319" t="str">
        <x:v>Assegnazioni</x:v>
      </x:c>
      <x:c r="B81" s="92" t="str">
        <x:v>L 43721 / V 0 / E 0 / C 2</x:v>
      </x:c>
      <x:c r="C81" s="92" t="str">
        <x:v>conteggi applicati</x:v>
      </x:c>
      <x:c r="D81" s="320" t="str">
        <x:v>EDGE osservato solo parzialmente; V2V non applicato.</x:v>
      </x:c>
    </x:row>
    <x:row r="82">
      <x:c r="A82" s="319" t="str">
        <x:v>Snapshot lag massimo</x:v>
      </x:c>
      <x:c r="B82" s="92" t="n">
        <x:v>0</x:v>
      </x:c>
      <x:c r="C82" s="92" t="str">
        <x:v>s</x:v>
      </x:c>
      <x:c r="D82" s="320" t="str">
        <x:v>Tutte le run.</x:v>
      </x:c>
    </x:row>
    <x:row r="83">
      <x:c r="A83" s="319" t="str">
        <x:v>Violazioni runtime</x:v>
      </x:c>
      <x:c r="B83" s="92" t="n">
        <x:v>0</x:v>
      </x:c>
      <x:c r="C83" s="92" t="str">
        <x:v>violazioni</x:v>
      </x:c>
      <x:c r="D83" s="320" t="str">
        <x:v>Tutte le run.</x:v>
      </x:c>
    </x:row>
    <x:row r="84">
      <x:c r="A84" s="321" t="str">
        <x:v>Sequenza successiva</x:v>
      </x:c>
      <x:c r="B84" s="322" t="str">
        <x:v>G05 → G06 → G02B → G07</x:v>
      </x:c>
      <x:c r="C84" s="322" t="str">
        <x:v>—</x:v>
      </x:c>
      <x:c r="D84" s="323" t="str">
        <x:v>G02B resta DEFERRED_AFTER_G06.</x:v>
      </x:c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Baseline FULL_MA_GA riutilizzabile in G02B; stato corrente: G04 chiusa, prossimo gruppo G05.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G06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G02B_DEFERRED_UNTIL_AFTER_G06.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G03 resta PASS_CON_LIMITE_STRESS. G04 è stata valutata con PASS_WITH_OBSERVABILITY_LIMITS; prossimo gruppo G05.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5" hidden="0" customWidth="1"/>
  </x:cols>
  <x:sheetData>
    <x:row r="1" ht="30" customHeight="1">
      <x:c r="A1" s="348" t="str">
        <x:v>G04 — risultati finali mobilità e connettività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  <x:c r="O1" s="348"/>
      <x:c r="P1" s="348"/>
      <x:c r="Q1" s="348"/>
      <x:c r="R1" s="348"/>
      <x:c r="S1" s="348"/>
    </x:row>
    <x:row r="2" ht="36" customHeight="1">
      <x:c r="A2" s="352" t="str">
        <x:v>PASS_WITH_OBSERVABILITY_LIMITS: 5/5 run tecnicamente PASS; 10/10 test valutati; 0 FAIL. T-094 e T-098 NON_OSSERVATO.</x:v>
      </x:c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4">
      <x:c r="A4" s="354" t="str">
        <x:v>Indicatore</x:v>
      </x:c>
      <x:c r="B4" s="354" t="str">
        <x:v>Valore</x:v>
      </x:c>
      <x:c r="C4" s="354" t="str">
        <x:v>Indicatore</x:v>
      </x:c>
      <x:c r="D4" s="354" t="str">
        <x:v>Valore</x:v>
      </x:c>
      <x:c r="E4" s="354" t="str">
        <x:v>Indicatore</x:v>
      </x:c>
      <x:c r="F4" s="354" t="str">
        <x:v>Valore</x:v>
      </x:c>
      <x:c r="G4" s="354" t="str">
        <x:v>Indicatore</x:v>
      </x:c>
      <x:c r="H4" s="354" t="str">
        <x:v>Valore</x:v>
      </x:c>
    </x:row>
    <x:row r="5">
      <x:c r="A5" s="316" t="str">
        <x:v>Run tecniche PASS</x:v>
      </x:c>
      <x:c r="B5" s="317" t="str">
        <x:v>5/5</x:v>
      </x:c>
      <x:c r="C5" s="317" t="str">
        <x:v>Test valutati</x:v>
      </x:c>
      <x:c r="D5" s="317" t="str">
        <x:v>10/10</x:v>
      </x:c>
      <x:c r="E5" s="317" t="str">
        <x:v>FAIL</x:v>
      </x:c>
      <x:c r="F5" s="317" t="n">
        <x:v>0</x:v>
      </x:c>
      <x:c r="G5" s="317" t="str">
        <x:v>Stato</x:v>
      </x:c>
      <x:c r="H5" s="356" t="str">
        <x:v>PASS_WITH_OBSERVABILITY_LIMITS</x:v>
      </x:c>
    </x:row>
    <x:row r="6">
      <x:c r="A6" s="321" t="str">
        <x:v>Snapshot lag massimo</x:v>
      </x:c>
      <x:c r="B6" s="322" t="n">
        <x:v>0</x:v>
      </x:c>
      <x:c r="C6" s="322" t="str">
        <x:v>Violazioni runtime</x:v>
      </x:c>
      <x:c r="D6" s="322" t="n">
        <x:v>0</x:v>
      </x:c>
      <x:c r="E6" s="322" t="str">
        <x:v>Gateway transitions</x:v>
      </x:c>
      <x:c r="F6" s="322" t="n">
        <x:v>0</x:v>
      </x:c>
      <x:c r="G6" s="322" t="str">
        <x:v>taskCompletionModel</x:v>
      </x:c>
      <x:c r="H6" s="323" t="str">
        <x:v>NOT_IMPLEMENTED</x:v>
      </x:c>
    </x:row>
    <x:row r="9">
      <x:c r="A9" s="354" t="str">
        <x:v>Run</x:v>
      </x:c>
      <x:c r="B9" s="354" t="str">
        <x:v>Configurazione</x:v>
      </x:c>
      <x:c r="C9" s="354" t="str">
        <x:v>Densità</x:v>
      </x:c>
      <x:c r="D9" s="354" t="str">
        <x:v>Stato run</x:v>
      </x:c>
      <x:c r="E9" s="354" t="str">
        <x:v>Validator</x:v>
      </x:c>
      <x:c r="F9" s="354" t="str">
        <x:v>Errori</x:v>
      </x:c>
      <x:c r="G9" s="354" t="str">
        <x:v>Warning</x:v>
      </x:c>
      <x:c r="H9" s="354" t="str">
        <x:v>Task</x:v>
      </x:c>
      <x:c r="I9" s="354" t="str">
        <x:v>GA sub</x:v>
      </x:c>
      <x:c r="J9" s="354" t="str">
        <x:v>GA comp</x:v>
      </x:c>
      <x:c r="K9" s="354" t="str">
        <x:v>GA appl</x:v>
      </x:c>
      <x:c r="L9" s="354" t="str">
        <x:v>Stale</x:v>
      </x:c>
      <x:c r="M9" s="354" t="str">
        <x:v>Stale %</x:v>
      </x:c>
      <x:c r="N9" s="354" t="str">
        <x:v>Runtime medio (s)</x:v>
      </x:c>
      <x:c r="O9" s="354" t="str">
        <x:v>Runtime P95 (s)</x:v>
      </x:c>
      <x:c r="P9" s="354" t="str">
        <x:v>Runtime max (s)</x:v>
      </x:c>
      <x:c r="Q9" s="354" t="str">
        <x:v>LOCAL</x:v>
      </x:c>
      <x:c r="R9" s="354" t="str">
        <x:v>VEHICLE</x:v>
      </x:c>
      <x:c r="S9" s="354" t="str">
        <x:v>EDGE/CLOUD</x:v>
      </x:c>
    </x:row>
    <x:row r="10">
      <x:c r="A10" s="316" t="str">
        <x:v>M-BACKGROUND-01</x:v>
      </x:c>
      <x:c r="B10" s="317" t="str">
        <x:v>CFG-M-BACKGROUND</x:v>
      </x:c>
      <x:c r="C10" s="317" t="str">
        <x:v>nominal</x:v>
      </x:c>
      <x:c r="D10" s="358" t="str">
        <x:v>PASS</x:v>
      </x:c>
      <x:c r="E10" s="317" t="str">
        <x:v>LITERATURE_SMOKE_TEST_PASSED</x:v>
      </x:c>
      <x:c r="F10" s="317" t="n">
        <x:v>0</x:v>
      </x:c>
      <x:c r="G10" s="317" t="n">
        <x:v>0</x:v>
      </x:c>
      <x:c r="H10" s="317" t="n">
        <x:v>5901</x:v>
      </x:c>
      <x:c r="I10" s="317" t="n">
        <x:v>416</x:v>
      </x:c>
      <x:c r="J10" s="317" t="n">
        <x:v>416</x:v>
      </x:c>
      <x:c r="K10" s="317" t="n">
        <x:v>411</x:v>
      </x:c>
      <x:c r="L10" s="317" t="n">
        <x:v>5</x:v>
      </x:c>
      <x:c r="M10" s="377" t="n">
        <x:v>1.201923</x:v>
      </x:c>
      <x:c r="N10" s="377" t="n">
        <x:v>0.04782185</x:v>
      </x:c>
      <x:c r="O10" s="377" t="n">
        <x:v>0.1340819</x:v>
      </x:c>
      <x:c r="P10" s="377" t="n">
        <x:v>0.3081506</x:v>
      </x:c>
      <x:c r="Q10" s="317" t="n">
        <x:v>13894</x:v>
      </x:c>
      <x:c r="R10" s="317" t="n">
        <x:v>0</x:v>
      </x:c>
      <x:c r="S10" s="318" t="str">
        <x:v>0 / 0</x:v>
      </x:c>
    </x:row>
    <x:row r="11">
      <x:c r="A11" s="319" t="str">
        <x:v>M-RSU0-01</x:v>
      </x:c>
      <x:c r="B11" s="92" t="str">
        <x:v>CFG-M-RSU0</x:v>
      </x:c>
      <x:c r="C11" s="92" t="str">
        <x:v>nominal</x:v>
      </x:c>
      <x:c r="D11" s="360" t="str">
        <x:v>PASS</x:v>
      </x:c>
      <x:c r="E11" s="92" t="str">
        <x:v>LITERATURE_SMOKE_TEST_PASSED</x:v>
      </x:c>
      <x:c r="F11" s="92" t="n">
        <x:v>0</x:v>
      </x:c>
      <x:c r="G11" s="92" t="n">
        <x:v>0</x:v>
      </x:c>
      <x:c r="H11" s="92" t="n">
        <x:v>5299</x:v>
      </x:c>
      <x:c r="I11" s="92" t="n">
        <x:v>370</x:v>
      </x:c>
      <x:c r="J11" s="92" t="n">
        <x:v>370</x:v>
      </x:c>
      <x:c r="K11" s="92" t="n">
        <x:v>369</x:v>
      </x:c>
      <x:c r="L11" s="92" t="n">
        <x:v>1</x:v>
      </x:c>
      <x:c r="M11" s="378" t="n">
        <x:v>0.27027</x:v>
      </x:c>
      <x:c r="N11" s="378" t="n">
        <x:v>0.058549806</x:v>
      </x:c>
      <x:c r="O11" s="378" t="n">
        <x:v>0.1384453</x:v>
      </x:c>
      <x:c r="P11" s="378" t="n">
        <x:v>0.2034126</x:v>
      </x:c>
      <x:c r="Q11" s="92" t="n">
        <x:v>11234</x:v>
      </x:c>
      <x:c r="R11" s="92" t="n">
        <x:v>0</x:v>
      </x:c>
      <x:c r="S11" s="320" t="str">
        <x:v>0 / 0</x:v>
      </x:c>
    </x:row>
    <x:row r="12">
      <x:c r="A12" s="319" t="str">
        <x:v>M-RSU1-01</x:v>
      </x:c>
      <x:c r="B12" s="92" t="str">
        <x:v>CFG-M-RSU1</x:v>
      </x:c>
      <x:c r="C12" s="92" t="str">
        <x:v>nominal</x:v>
      </x:c>
      <x:c r="D12" s="360" t="str">
        <x:v>PASS</x:v>
      </x:c>
      <x:c r="E12" s="92" t="str">
        <x:v>LITERATURE_SMOKE_TEST_PASSED</x:v>
      </x:c>
      <x:c r="F12" s="92" t="n">
        <x:v>0</x:v>
      </x:c>
      <x:c r="G12" s="92" t="n">
        <x:v>0</x:v>
      </x:c>
      <x:c r="H12" s="92" t="n">
        <x:v>2887</x:v>
      </x:c>
      <x:c r="I12" s="92" t="n">
        <x:v>427</x:v>
      </x:c>
      <x:c r="J12" s="92" t="n">
        <x:v>427</x:v>
      </x:c>
      <x:c r="K12" s="92" t="n">
        <x:v>427</x:v>
      </x:c>
      <x:c r="L12" s="92" t="n">
        <x:v>0</x:v>
      </x:c>
      <x:c r="M12" s="378" t="n">
        <x:v>0</x:v>
      </x:c>
      <x:c r="N12" s="378" t="n">
        <x:v>0.028549481</x:v>
      </x:c>
      <x:c r="O12" s="378" t="n">
        <x:v>0.065512</x:v>
      </x:c>
      <x:c r="P12" s="378" t="n">
        <x:v>0.124636</x:v>
      </x:c>
      <x:c r="Q12" s="92" t="n">
        <x:v>7079</x:v>
      </x:c>
      <x:c r="R12" s="92" t="n">
        <x:v>0</x:v>
      </x:c>
      <x:c r="S12" s="320" t="str">
        <x:v>0 / 2</x:v>
      </x:c>
    </x:row>
    <x:row r="13">
      <x:c r="A13" s="319" t="str">
        <x:v>M-SWITCH-01</x:v>
      </x:c>
      <x:c r="B13" s="92" t="str">
        <x:v>CFG-M-SWITCH</x:v>
      </x:c>
      <x:c r="C13" s="92" t="str">
        <x:v>nominal</x:v>
      </x:c>
      <x:c r="D13" s="341" t="str">
        <x:v>PASS_CON_LIMITAZIONE</x:v>
      </x:c>
      <x:c r="E13" s="92" t="str">
        <x:v>LITERATURE_SMOKE_TEST_PASSED</x:v>
      </x:c>
      <x:c r="F13" s="92" t="n">
        <x:v>0</x:v>
      </x:c>
      <x:c r="G13" s="92" t="n">
        <x:v>0</x:v>
      </x:c>
      <x:c r="H13" s="92" t="n">
        <x:v>6141</x:v>
      </x:c>
      <x:c r="I13" s="92" t="n">
        <x:v>309</x:v>
      </x:c>
      <x:c r="J13" s="92" t="n">
        <x:v>309</x:v>
      </x:c>
      <x:c r="K13" s="92" t="n">
        <x:v>294</x:v>
      </x:c>
      <x:c r="L13" s="92" t="n">
        <x:v>15</x:v>
      </x:c>
      <x:c r="M13" s="378" t="n">
        <x:v>4.854369</x:v>
      </x:c>
      <x:c r="N13" s="378" t="n">
        <x:v>0.090603552</x:v>
      </x:c>
      <x:c r="O13" s="378" t="n">
        <x:v>0.1926574</x:v>
      </x:c>
      <x:c r="P13" s="378" t="n">
        <x:v>0.3723984</x:v>
      </x:c>
      <x:c r="Q13" s="92" t="n">
        <x:v>9418</x:v>
      </x:c>
      <x:c r="R13" s="92" t="n">
        <x:v>0</x:v>
      </x:c>
      <x:c r="S13" s="320" t="str">
        <x:v>0 / 0</x:v>
      </x:c>
    </x:row>
    <x:row r="14">
      <x:c r="A14" s="321" t="str">
        <x:v>M-V2V-01</x:v>
      </x:c>
      <x:c r="B14" s="322" t="str">
        <x:v>CFG-M-V2V</x:v>
      </x:c>
      <x:c r="C14" s="322" t="str">
        <x:v>high_density</x:v>
      </x:c>
      <x:c r="D14" s="362" t="str">
        <x:v>PASS_CON_LIMITAZIONE</x:v>
      </x:c>
      <x:c r="E14" s="322" t="str">
        <x:v>LITERATURE_SMOKE_TEST_PASSED</x:v>
      </x:c>
      <x:c r="F14" s="322" t="n">
        <x:v>0</x:v>
      </x:c>
      <x:c r="G14" s="322" t="n">
        <x:v>0</x:v>
      </x:c>
      <x:c r="H14" s="322" t="n">
        <x:v>9396</x:v>
      </x:c>
      <x:c r="I14" s="322" t="n">
        <x:v>193</x:v>
      </x:c>
      <x:c r="J14" s="322" t="n">
        <x:v>193</x:v>
      </x:c>
      <x:c r="K14" s="322" t="n">
        <x:v>100</x:v>
      </x:c>
      <x:c r="L14" s="322" t="n">
        <x:v>93</x:v>
      </x:c>
      <x:c r="M14" s="379" t="n">
        <x:v>48.186528</x:v>
      </x:c>
      <x:c r="N14" s="379" t="n">
        <x:v>0.367724152</x:v>
      </x:c>
      <x:c r="O14" s="379" t="n">
        <x:v>1.1884472</x:v>
      </x:c>
      <x:c r="P14" s="379" t="n">
        <x:v>1.3606641</x:v>
      </x:c>
      <x:c r="Q14" s="322" t="n">
        <x:v>2096</x:v>
      </x:c>
      <x:c r="R14" s="322" t="n">
        <x:v>0</x:v>
      </x:c>
      <x:c r="S14" s="323" t="str">
        <x:v>0 / 0</x:v>
      </x:c>
    </x:row>
    <x:row r="15">
      <x:c r="A15" s="366" t="str">
        <x:v>TOTALE / AGGREGATO</x:v>
      </x:c>
      <x:c r="B15" s="367" t="str"/>
      <x:c r="C15" s="367" t="str"/>
      <x:c r="D15" s="367" t="str"/>
      <x:c r="E15" s="367" t="str"/>
      <x:c r="F15" s="367" t="n">
        <x:v>0</x:v>
      </x:c>
      <x:c r="G15" s="367" t="n">
        <x:v>0</x:v>
      </x:c>
      <x:c r="H15" s="367" t="n">
        <x:f>SUM(H10:H14)</x:f>
        <x:v>29624</x:v>
      </x:c>
      <x:c r="I15" s="367" t="n">
        <x:f>SUM(I10:I14)</x:f>
        <x:v>1715</x:v>
      </x:c>
      <x:c r="J15" s="367" t="n">
        <x:f>SUM(J10:J14)</x:f>
        <x:v>1715</x:v>
      </x:c>
      <x:c r="K15" s="367" t="n">
        <x:f>SUM(K10:K14)</x:f>
        <x:v>1601</x:v>
      </x:c>
      <x:c r="L15" s="367" t="n">
        <x:f>SUM(L10:L14)</x:f>
        <x:v>114</x:v>
      </x:c>
      <x:c r="M15" s="380" t="n">
        <x:f>L15/I15*100</x:f>
        <x:v>6.647230320699708</x:v>
      </x:c>
      <x:c r="N15" s="380" t="n">
        <x:f>SUMPRODUCT(N10:N14,I10:I14)/SUM(I10:I14)</x:f>
        <x:v>0.08904676682857143</x:v>
      </x:c>
      <x:c r="O15" s="380" t="n">
        <x:f>MAX(O10:O14)</x:f>
        <x:v>1.1884472</x:v>
      </x:c>
      <x:c r="P15" s="380" t="n">
        <x:f>MAX(P10:P14)</x:f>
        <x:v>1.3606641</x:v>
      </x:c>
      <x:c r="Q15" s="367" t="n">
        <x:f>SUM(Q10:Q14)</x:f>
        <x:v>43721</x:v>
      </x:c>
      <x:c r="R15" s="367" t="n">
        <x:f>SUM(R10:R14)</x:f>
        <x:v>0</x:v>
      </x:c>
      <x:c r="S15" s="368" t="str">
        <x:v>0 / 2</x:v>
      </x:c>
    </x:row>
    <x:row r="18">
      <x:c r="A18" s="372" t="str">
        <x:v>Verdetti funzionali T-090–T-099</x:v>
      </x:c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  <x:c r="S18" s="372"/>
    </x:row>
    <x:row r="19">
      <x:c r="A19" s="354" t="str">
        <x:v>Test</x:v>
      </x:c>
      <x:c r="B19" s="354" t="str">
        <x:v>Funzione</x:v>
      </x:c>
      <x:c r="C19" s="354" t="str">
        <x:v>Configurazioni</x:v>
      </x:c>
      <x:c r="D19" s="354" t="str">
        <x:v>Evidenza osservata</x:v>
      </x:c>
      <x:c r="E19" s="354" t="str">
        <x:v>Criterio</x:v>
      </x:c>
      <x:c r="F19" s="354" t="str">
        <x:v>Verdetto</x:v>
      </x:c>
      <x:c r="G19" s="354" t="str">
        <x:v>Motivazione / limite</x:v>
      </x:c>
      <x:c r="H19" s="354" t="str">
        <x:v>Tipo di prova</x:v>
      </x:c>
    </x:row>
    <x:row r="20">
      <x:c r="A20" s="316" t="str">
        <x:v>T-090</x:v>
      </x:c>
      <x:c r="B20" s="317" t="str">
        <x:v>LOCAL_CONVENTIONAL</x:v>
      </x:c>
      <x:c r="C20" s="317" t="str">
        <x:v>M-BACKGROUND</x:v>
      </x:c>
      <x:c r="D20" s="317" t="str">
        <x:v>14.233 geni locali; componenti mobility 0</x:v>
      </x:c>
      <x:c r="E20" s="317" t="str">
        <x:v>Coerenza caso locale</x:v>
      </x:c>
      <x:c r="F20" s="358" t="str">
        <x:v>PASS</x:v>
      </x:c>
      <x:c r="G20" s="317" t="str">
        <x:v>Caso locale ampiamente osservato</x:v>
      </x:c>
      <x:c r="H20" s="318" t="str">
        <x:v>Strategie applicate</x:v>
      </x:c>
    </x:row>
    <x:row r="21">
      <x:c r="A21" s="319" t="str">
        <x:v>T-091</x:v>
      </x:c>
      <x:c r="B21" s="92" t="str">
        <x:v>EDGE_GEOMETRIC</x:v>
      </x:c>
      <x:c r="C21" s="92" t="str">
        <x:v>M-RSU0; M-RSU1; M-V2V</x:v>
      </x:c>
      <x:c r="D21" s="92" t="str">
        <x:v>Candidati EDGE; 1 gene EDGE stale</x:v>
      </x:c>
      <x:c r="E21" s="92" t="str">
        <x:v>phiLink geometrico EDGE</x:v>
      </x:c>
      <x:c r="F21" s="374" t="str">
        <x:v>EVIDENZA_PARZIALE</x:v>
      </x:c>
      <x:c r="G21" s="92" t="str">
        <x:v>Nessuna assegnazione EDGE applicata</x:v>
      </x:c>
      <x:c r="H21" s="320" t="str">
        <x:v>Candidato + stale</x:v>
      </x:c>
    </x:row>
    <x:row r="22">
      <x:c r="A22" s="319" t="str">
        <x:v>T-092</x:v>
      </x:c>
      <x:c r="B22" s="92" t="str">
        <x:v>CLOUD_GATEWAY_GEOMETRIC</x:v>
      </x:c>
      <x:c r="C22" s="92" t="str">
        <x:v>M-RSU1; M-SWITCH</x:v>
      </x:c>
      <x:c r="D22" s="92" t="str">
        <x:v>2 geni CLOUD applicati</x:v>
      </x:c>
      <x:c r="E22" s="92" t="str">
        <x:v>Cloud via gateway; no placeholder</x:v>
      </x:c>
      <x:c r="F22" s="341" t="str">
        <x:v>PASS_CON_LIMITAZIONE</x:v>
      </x:c>
      <x:c r="G22" s="92" t="str">
        <x:v>Geometria osservata, switch no</x:v>
      </x:c>
      <x:c r="H22" s="320" t="str">
        <x:v>Strategie applicate</x:v>
      </x:c>
    </x:row>
    <x:row r="23">
      <x:c r="A23" s="319" t="str">
        <x:v>T-093</x:v>
      </x:c>
      <x:c r="B23" s="92" t="str">
        <x:v>V2V_SCALAR_RELATIVE_SPEED</x:v>
      </x:c>
      <x:c r="C23" s="92" t="str">
        <x:v>M-V2V</x:v>
      </x:c>
      <x:c r="D23" s="92" t="str">
        <x:v>46 valori finiti; 0 VEHICLE applicati</x:v>
      </x:c>
      <x:c r="E23" s="92" t="str">
        <x:v>Metriche V2V finite</x:v>
      </x:c>
      <x:c r="F23" s="341" t="str">
        <x:v>PASS_CON_LIMITAZIONE</x:v>
      </x:c>
      <x:c r="G23" s="92" t="str">
        <x:v>Modello osservato, decisione no</x:v>
      </x:c>
      <x:c r="H23" s="320" t="str">
        <x:v>Snapshot/candidati</x:v>
      </x:c>
    </x:row>
    <x:row r="24">
      <x:c r="A24" s="319" t="str">
        <x:v>T-094</x:v>
      </x:c>
      <x:c r="B24" s="92" t="str">
        <x:v>Coverage insufficiente</x:v>
      </x:c>
      <x:c r="C24" s="92" t="str">
        <x:v>M-SWITCH; futuro G05</x:v>
      </x:c>
      <x:c r="D24" s="92" t="str">
        <x:v>phiCov 0; nessun coverage insufficient</x:v>
      </x:c>
      <x:c r="E24" s="92" t="str">
        <x:v>completion &gt; coverage</x:v>
      </x:c>
      <x:c r="F24" s="343" t="str">
        <x:v>NON_OSSERVATO</x:v>
      </x:c>
      <x:c r="G24" s="92" t="str">
        <x:v>Caso non prodotto da G04</x:v>
      </x:c>
      <x:c r="H24" s="320" t="str">
        <x:v>Evidenza negativa</x:v>
      </x:c>
    </x:row>
    <x:row r="25">
      <x:c r="A25" s="319" t="str">
        <x:v>T-095</x:v>
      </x:c>
      <x:c r="B25" s="92" t="str">
        <x:v>Link instability / phiLink</x:v>
      </x:c>
      <x:c r="C25" s="92" t="str">
        <x:v>MOB</x:v>
      </x:c>
      <x:c r="D25" s="92" t="str">
        <x:v>phiLink remoto finito</x:v>
      </x:c>
      <x:c r="E25" s="92" t="str">
        <x:v>Range e coerenza geometrica</x:v>
      </x:c>
      <x:c r="F25" s="341" t="str">
        <x:v>PASS_CON_LIMITAZIONE</x:v>
      </x:c>
      <x:c r="G25" s="92" t="str">
        <x:v>Pochi geni remoti osservati</x:v>
      </x:c>
      <x:c r="H25" s="320" t="str">
        <x:v>Geni remoti</x:v>
      </x:c>
    </x:row>
    <x:row r="26">
      <x:c r="A26" s="319" t="str">
        <x:v>T-096</x:v>
      </x:c>
      <x:c r="B26" s="92" t="str">
        <x:v>Handover risk / phiHo</x:v>
      </x:c>
      <x:c r="C26" s="92" t="str">
        <x:v>M-SWITCH; M-RSU1</x:v>
      </x:c>
      <x:c r="D26" s="92" t="str">
        <x:v>phiHo non nullo; 0 switch</x:v>
      </x:c>
      <x:c r="E26" s="92" t="str">
        <x:v>Aumento vicino transizione</x:v>
      </x:c>
      <x:c r="F26" s="374" t="str">
        <x:v>EVIDENZA_PARZIALE</x:v>
      </x:c>
      <x:c r="G26" s="92" t="str">
        <x:v>Manca una transizione dimostrata</x:v>
      </x:c>
      <x:c r="H26" s="320" t="str">
        <x:v>Geni remoti</x:v>
      </x:c>
    </x:row>
    <x:row r="27">
      <x:c r="A27" s="319" t="str">
        <x:v>T-097</x:v>
      </x:c>
      <x:c r="B27" s="92" t="str">
        <x:v>Pmob</x:v>
      </x:c>
      <x:c r="C27" s="92" t="str">
        <x:v>MOB</x:v>
      </x:c>
      <x:c r="D27" s="92" t="str">
        <x:v>Formula verificata sui geni remoti</x:v>
      </x:c>
      <x:c r="E27" s="92" t="str">
        <x:v>Somma pesata coerente</x:v>
      </x:c>
      <x:c r="F27" s="341" t="str">
        <x:v>PASS_CON_LIMITAZIONE</x:v>
      </x:c>
      <x:c r="G27" s="92" t="str">
        <x:v>Copertura remota limitata</x:v>
      </x:c>
      <x:c r="H27" s="320" t="str">
        <x:v>Breakdown fitness</x:v>
      </x:c>
    </x:row>
    <x:row r="28">
      <x:c r="A28" s="319" t="str">
        <x:v>T-098</x:v>
      </x:c>
      <x:c r="B28" s="92" t="str">
        <x:v>Gateway switch</x:v>
      </x:c>
      <x:c r="C28" s="92" t="str">
        <x:v>M-SWITCH</x:v>
      </x:c>
      <x:c r="D28" s="92" t="str">
        <x:v>0 transizioni</x:v>
      </x:c>
      <x:c r="E28" s="92" t="str">
        <x:v>Almeno una transizione</x:v>
      </x:c>
      <x:c r="F28" s="343" t="str">
        <x:v>NON_OSSERVATO</x:v>
      </x:c>
      <x:c r="G28" s="92" t="str">
        <x:v>CSV contiene solo intestazione</x:v>
      </x:c>
      <x:c r="H28" s="320" t="str">
        <x:v>Evidenza negativa</x:v>
      </x:c>
    </x:row>
    <x:row r="29">
      <x:c r="A29" s="321" t="str">
        <x:v>T-099</x:v>
      </x:c>
      <x:c r="B29" s="322" t="str">
        <x:v>Legacy cloud placeholder</x:v>
      </x:c>
      <x:c r="C29" s="322" t="str">
        <x:v>Tutte</x:v>
      </x:c>
      <x:c r="D29" s="322" t="str">
        <x:v>0/51.683 placeholder</x:v>
      </x:c>
      <x:c r="E29" s="322" t="str">
        <x:v>Placeholder = 0</x:v>
      </x:c>
      <x:c r="F29" s="376" t="str">
        <x:v>PASS</x:v>
      </x:c>
      <x:c r="G29" s="322" t="str">
        <x:v>Cloud applicato solo gateway-geometric</x:v>
      </x:c>
      <x:c r="H29" s="323" t="str">
        <x:v>Audit negativo</x:v>
      </x:c>
    </x:row>
    <x:row r="32">
      <x:c r="A32" s="372" t="str">
        <x:v>Limiti e interpretazione</x:v>
      </x:c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  <x:c r="S32" s="372"/>
    </x:row>
    <x:row r="33">
      <x:c r="A33" s="333" t="str">
        <x:v>Tema</x:v>
      </x:c>
      <x:c r="B33" s="335" t="str">
        <x:v>Conclusione</x:v>
      </x:c>
    </x:row>
    <x:row r="34">
      <x:c r="A34" s="319" t="str">
        <x:v>PASS tecnico</x:v>
      </x:c>
      <x:c r="B34" s="320" t="str">
        <x:v>Validator PASS, errori/warning 0, lag 0 e violazioni 0 non equivalgono al PASS di ogni test funzionale.</x:v>
      </x:c>
    </x:row>
    <x:row r="35">
      <x:c r="A35" s="319" t="str">
        <x:v>Gateway switch</x:v>
      </x:c>
      <x:c r="B35" s="320" t="str">
        <x:v>Non osservato; non dichiarare una transizione non presente nel CSV.</x:v>
      </x:c>
    </x:row>
    <x:row r="36">
      <x:c r="A36" s="319" t="str">
        <x:v>M-V2V-01</x:v>
      </x:c>
      <x:c r="B36" s="320" t="str">
        <x:v>Stale ratio 48,186528%; limite operativo documentato, non errore core automatico.</x:v>
      </x:c>
    </x:row>
    <x:row r="37">
      <x:c r="A37" s="319" t="str">
        <x:v>Completion</x:v>
      </x:c>
      <x:c r="B37" s="320" t="str">
        <x:v>taskCompletionModel=NOT_IMPLEMENTED; nessun completion rate.</x:v>
      </x:c>
    </x:row>
    <x:row r="38">
      <x:c r="A38" s="321" t="str">
        <x:v>SUMO</x:v>
      </x:c>
      <x:c r="B38" s="323" t="str">
        <x:v>sumoErrors, teleports ed emergencyBraking null: non trasformare in zero.</x:v>
      </x:c>
    </x:row>
  </x:sheetData>
  <x:mergeCells>
    <x:mergeCell ref="A1:S1"/>
    <x:mergeCell ref="A2:S2"/>
    <x:mergeCell ref="A18:S18"/>
    <x:mergeCell ref="A32:S32"/>
  </x:mergeCells>
  <x:pageMargins left="0.7" right="0.7" top="0.75" bottom="0.75" header="0.3" footer="0.3"/>
</x:worksheet>
</file>