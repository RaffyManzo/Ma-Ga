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6e3b84315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58174d9498b54b41"/>
    <x:sheet xmlns:r="http://schemas.openxmlformats.org/officeDocument/2006/relationships" name="01_Profili" sheetId="2" r:id="Rf5b10edc5ef64e91"/>
    <x:sheet xmlns:r="http://schemas.openxmlformats.org/officeDocument/2006/relationships" name="02_Configurazioni" sheetId="3" r:id="R61cb1f5e301e4b06"/>
    <x:sheet xmlns:r="http://schemas.openxmlformats.org/officeDocument/2006/relationships" name="03_Piano_run" sheetId="4" r:id="R0918e5f3565b43cb"/>
    <x:sheet xmlns:r="http://schemas.openxmlformats.org/officeDocument/2006/relationships" name="04_Catalogo_test" sheetId="5" r:id="R4307931f625f485a"/>
    <x:sheet xmlns:r="http://schemas.openxmlformats.org/officeDocument/2006/relationships" name="05_Output_dizionario" sheetId="6" r:id="R5281252fd91c4b69"/>
    <x:sheet xmlns:r="http://schemas.openxmlformats.org/officeDocument/2006/relationships" name="06_Oracoli" sheetId="7" r:id="R5cfc58e43c2d4c11"/>
    <x:sheet xmlns:r="http://schemas.openxmlformats.org/officeDocument/2006/relationships" name="07_Checklist" sheetId="8" r:id="R528af0d8776d4c57"/>
    <x:sheet xmlns:r="http://schemas.openxmlformats.org/officeDocument/2006/relationships" name="08_Limiti" sheetId="9" r:id="R7d4975ce27734028"/>
    <x:sheet xmlns:r="http://schemas.openxmlformats.org/officeDocument/2006/relationships" name="09_Fonti" sheetId="10" r:id="R042e6b5e02004e6d"/>
    <x:sheet xmlns:r="http://schemas.openxmlformats.org/officeDocument/2006/relationships" name="10_Risultati_G00_G01" sheetId="11" r:id="R09b94d997a684bf7"/>
    <x:sheet xmlns:r="http://schemas.openxmlformats.org/officeDocument/2006/relationships" name="11_Pre_G02_Checkpoint" sheetId="12" r:id="Rb5fe83fe92ed4e79"/>
    <x:sheet xmlns:r="http://schemas.openxmlformats.org/officeDocument/2006/relationships" name="12_Risultati_G02" sheetId="13" r:id="R67fbc3e690944b43"/>
    <x:sheet xmlns:r="http://schemas.openxmlformats.org/officeDocument/2006/relationships" name="13_Risultati_G03" sheetId="14" r:id="R2afbf70d8c554f37"/>
    <x:sheet xmlns:r="http://schemas.openxmlformats.org/officeDocument/2006/relationships" name="14_Risultati_G04" sheetId="15" r:id="Rf452498e82a0401f"/>
    <x:sheet xmlns:r="http://schemas.openxmlformats.org/officeDocument/2006/relationships" name="15_Risultati_G05" sheetId="16" r:id="R86383654cddd40a3"/>
    <x:sheet xmlns:r="http://schemas.openxmlformats.org/officeDocument/2006/relationships" name="16_Risultati_G06" sheetId="17" r:id="R658df77cfd2e4277"/>
    <x:sheet xmlns:r="http://schemas.openxmlformats.org/officeDocument/2006/relationships" name="17_Risultati_G04R" sheetId="18" r:id="R9b18c8da6989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000"/>
    <x:numFmt numFmtId="202" formatCode="0"/>
    <x:numFmt numFmtId="203" formatCode="0.000000"/>
    <x:numFmt numFmtId="204" formatCode="0.0"/>
  </x:numFmts>
  <x:fonts count="19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  <x:font>
      <x:i/>
      <x:sz val="11"/>
      <x:name val="Carlito"/>
    </x:font>
    <x:font>
      <x:b/>
      <x:sz val="11"/>
      <x:color rgb="FF1F4E78"/>
      <x:name val="Carlito"/>
    </x:font>
    <x:font>
      <x:b/>
      <x:sz val="12"/>
      <x:color rgb="FF1F1F1F"/>
      <x:name val="Carlito"/>
    </x:font>
    <x:font>
      <x:sz val="11"/>
      <x:color rgb="FF1F1F1F"/>
      <x:name val="Carlito"/>
    </x:font>
    <x:font>
      <x:b/>
      <x:sz val="11"/>
      <x:color rgb="FF385723"/>
      <x:name val="Carlito"/>
    </x:font>
    <x:font>
      <x:b/>
      <x:sz val="14"/>
      <x:color rgb="FFFFFFFF"/>
      <x:name val="Carlito"/>
    </x:font>
  </x:fonts>
  <x:fills count="5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9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 style="thin">
        <x:color rgb="FF7F7F7F"/>
      </x:bottom>
    </x:border>
  </x:borders>
  <x:cellStyleXfs count="1">
    <x:xf numFmtId="0" fontId="0" fillId="0" borderId="0"/>
  </x:cellStyleXfs>
  <x:cellXfs count="4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9" fillId="1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borderId="6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5" xfId="0" applyNumberFormat="1" applyFont="1" applyFill="1" applyBorder="1" applyAlignment="1">
      <x:alignment horizontal="center" wrapText="1"/>
    </x:xf>
    <x:xf numFmtId="0" fontId="3" fillId="17" borderId="6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6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21" borderId="0" xfId="0" applyNumberFormat="1" applyFont="1" applyFill="1" applyBorder="1" applyAlignment="1">
      <x:alignment wrapText="1"/>
    </x:xf>
    <x:xf numFmtId="203" fontId="0" fillId="21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horizontal="center" vertical="top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2" fillId="26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3" fillId="24" xfId="0" applyNumberFormat="1" applyFont="1" applyFill="1" applyBorder="0" applyAlignment="1">
      <x:alignment horizontal="center" vertical="center" wrapText="1"/>
    </x:xf>
    <x:xf numFmtId="0" fontId="0" fillId="25" xfId="0" applyNumberFormat="1" applyFont="1" applyFill="1" applyBorder="0" applyAlignment="1">
      <x:alignment vertical="top" wrapText="1"/>
    </x:xf>
    <x:xf numFmtId="0" fontId="11" fillId="2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11" fillId="20" borderId="0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12" fillId="21" xfId="0" applyNumberFormat="1" applyFont="1" applyFill="1" applyBorder="0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2" fillId="17" xfId="0" applyNumberFormat="1" applyFont="1" applyFill="1" applyBorder="0" applyAlignment="1">
      <x:alignment horizontal="center" vertical="center" wrapText="1"/>
    </x:xf>
    <x:xf numFmtId="0" fontId="3" fillId="17" xfId="0" applyNumberFormat="1" applyFont="1" applyFill="1" applyBorder="0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11" fillId="20" xfId="0" applyNumberFormat="1" applyFont="1" applyFill="1" applyBorder="0" applyAlignment="1">
      <x:alignment vertical="top" wrapText="1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top" wrapText="1"/>
    </x:xf>
    <x:xf numFmtId="0" fontId="10" fillId="28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7" xfId="0" applyNumberFormat="1" applyFont="1" applyFill="1" applyBorder="0" applyAlignment="1">
      <x:alignment vertical="top" wrapText="1"/>
    </x:xf>
    <x:xf numFmtId="0" fontId="0" fillId="27" xfId="0" applyNumberFormat="1" applyFont="1" applyFill="1" applyBorder="0" applyAlignment="1">
      <x:alignment vertical="center" wrapText="1"/>
    </x:xf>
    <x:xf numFmtId="0" fontId="0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top" wrapText="1"/>
    </x:xf>
    <x:xf numFmtId="0" fontId="7" fillId="34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35" borderId="7" xfId="0" applyNumberFormat="1" applyFont="1" applyFill="1" applyBorder="1" applyAlignment="1">
      <x:alignment vertical="top" wrapText="1"/>
    </x:xf>
    <x:xf numFmtId="0" fontId="0" fillId="35" borderId="8" xfId="0" applyNumberFormat="1" applyFont="1" applyFill="1" applyBorder="1" applyAlignment="1">
      <x:alignment vertical="top" wrapText="1"/>
    </x:xf>
    <x:xf numFmtId="0" fontId="0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vertical="top" wrapText="1"/>
    </x:xf>
    <x:xf numFmtId="0" fontId="3" fillId="35" borderId="8" xfId="0" applyNumberFormat="1" applyFont="1" applyFill="1" applyBorder="1" applyAlignment="1">
      <x:alignment vertical="top" wrapText="1"/>
    </x:xf>
    <x:xf numFmtId="0" fontId="3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horizontal="center" vertical="top" wrapText="1"/>
    </x:xf>
    <x:xf numFmtId="0" fontId="3" fillId="35" borderId="8" xfId="0" applyNumberFormat="1" applyFont="1" applyFill="1" applyBorder="1" applyAlignment="1">
      <x:alignment horizontal="center" vertical="top" wrapText="1"/>
    </x:xf>
    <x:xf numFmtId="0" fontId="3" fillId="35" borderId="9" xfId="0" applyNumberFormat="1" applyFont="1" applyFill="1" applyBorder="1" applyAlignment="1">
      <x:alignment horizontal="center" vertical="top" wrapText="1"/>
    </x:xf>
    <x:xf numFmtId="0" fontId="3" fillId="35" borderId="7" xfId="0" applyNumberFormat="1" applyFont="1" applyFill="1" applyBorder="1" applyAlignment="1">
      <x:alignment horizontal="center" vertical="center" wrapText="1"/>
    </x:xf>
    <x:xf numFmtId="0" fontId="3" fillId="35" borderId="8" xfId="0" applyNumberFormat="1" applyFont="1" applyFill="1" applyBorder="1" applyAlignment="1">
      <x:alignment horizontal="center" vertical="center" wrapText="1"/>
    </x:xf>
    <x:xf numFmtId="0" fontId="3" fillId="35" borderId="9" xfId="0" applyNumberFormat="1" applyFont="1" applyFill="1" applyBorder="1" applyAlignment="1">
      <x:alignment horizontal="center" vertical="center" wrapText="1"/>
    </x:xf>
    <x:xf numFmtId="0" fontId="0" fillId="21" borderId="7" xfId="0" applyNumberFormat="1" applyFont="1" applyFill="1" applyBorder="1" applyAlignment="1">
      <x:alignment vertical="top" wrapText="1"/>
    </x:xf>
    <x:xf numFmtId="0" fontId="0" fillId="21" borderId="8" xfId="0" applyNumberFormat="1" applyFont="1" applyFill="1" applyBorder="1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9" fillId="31" borderId="0" xfId="0" applyNumberFormat="1" applyFont="1" applyFill="1" applyBorder="1" applyAlignment="1">
      <x:alignment vertical="top" wrapText="1"/>
    </x:xf>
    <x:xf numFmtId="0" fontId="0" fillId="32" xfId="0" applyNumberFormat="1" applyFont="1" applyFill="1" applyBorder="0" applyAlignment="1">
      <x:alignment vertical="top" wrapText="1"/>
    </x:xf>
    <x:xf numFmtId="0" fontId="7" fillId="32" xfId="0" applyNumberFormat="1" applyFont="1" applyFill="1" applyBorder="0" applyAlignment="1">
      <x:alignment vertical="top" wrapText="1"/>
    </x:xf>
    <x:xf numFmtId="0" fontId="0" fillId="34" xfId="0" applyNumberFormat="1" applyFont="1" applyFill="1" applyBorder="0" applyAlignment="1">
      <x:alignment vertical="top" wrapText="1"/>
    </x:xf>
    <x:xf numFmtId="0" fontId="7" fillId="34" xfId="0" applyNumberFormat="1" applyFont="1" applyFill="1" applyBorder="0" applyAlignment="1">
      <x:alignment vertical="top"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horizontal="left" wrapText="1"/>
    </x:xf>
    <x:xf numFmtId="0" fontId="3" fillId="35" borderId="0" xfId="0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14" fillId="36" borderId="0" xfId="0" applyNumberFormat="1" applyFont="1" applyFill="1" applyBorder="1" applyAlignment="1">
      <x:alignment vertical="center" wrapText="1"/>
    </x:xf>
    <x:xf numFmtId="0" fontId="3" fillId="35" borderId="0" xfId="0" applyNumberFormat="1" applyFont="1" applyFill="1" applyBorder="1" applyAlignment="1">
      <x:alignment horizont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2" borderId="9" xfId="0" applyNumberFormat="1" applyFont="1" applyFill="1" applyBorder="1" applyAlignment="1">
      <x:alignment vertical="top" wrapText="1"/>
    </x:xf>
    <x:xf numFmtId="0" fontId="7" fillId="32" borderId="9" xfId="0" applyNumberFormat="1" applyFont="1" applyFill="1" applyBorder="1" applyAlignment="1">
      <x:alignment vertical="top" wrapText="1"/>
    </x:xf>
    <x:xf numFmtId="0" fontId="0" fillId="31" borderId="8" xfId="0" applyNumberFormat="1" applyFont="1" applyFill="1" applyBorder="1" applyAlignment="1">
      <x:alignment vertical="top" wrapText="1"/>
    </x:xf>
    <x:xf numFmtId="0" fontId="7" fillId="31" borderId="8" xfId="0" applyNumberFormat="1" applyFont="1" applyFill="1" applyBorder="1" applyAlignment="1">
      <x:alignment vertical="top" wrapText="1"/>
    </x:xf>
    <x:xf numFmtId="0" fontId="0" fillId="31" xfId="0" applyNumberFormat="1" applyFont="1" applyFill="1" applyBorder="0" applyAlignment="1">
      <x:alignment vertical="top" wrapText="1"/>
    </x:xf>
    <x:xf numFmtId="0" fontId="7" fillId="31" xfId="0" applyNumberFormat="1" applyFont="1" applyFill="1" applyBorder="0" applyAlignment="1">
      <x:alignment vertical="top" wrapText="1"/>
    </x:xf>
    <x:xf numFmtId="0" fontId="0" fillId="32" borderId="13" xfId="0" applyNumberFormat="1" applyFont="1" applyFill="1" applyBorder="1" applyAlignment="1">
      <x:alignment vertical="top" wrapText="1"/>
    </x:xf>
    <x:xf numFmtId="0" fontId="7" fillId="32" borderId="13" xfId="0" applyNumberFormat="1" applyFont="1" applyFill="1" applyBorder="1" applyAlignment="1">
      <x:alignment vertical="top" wrapText="1"/>
    </x:xf>
    <x:xf numFmtId="0" fontId="14" fillId="36" borderId="15" xfId="0" applyNumberFormat="1" applyFont="1" applyFill="1" applyBorder="1"/>
    <x:xf numFmtId="0" fontId="14" fillId="36" borderId="16" xfId="0" applyNumberFormat="1" applyFont="1" applyFill="1" applyBorder="1"/>
    <x:xf numFmtId="0" fontId="14" fillId="36" borderId="17" xfId="0" applyNumberFormat="1" applyFont="1" applyFill="1" applyBorder="1"/>
    <x:xf numFmtId="0" fontId="14" fillId="36" borderId="15" xfId="0" applyNumberFormat="1" applyFont="1" applyFill="1" applyBorder="1" applyAlignment="1">
      <x:alignment wrapText="1"/>
    </x:xf>
    <x:xf numFmtId="0" fontId="14" fillId="36" borderId="16" xfId="0" applyNumberFormat="1" applyFont="1" applyFill="1" applyBorder="1" applyAlignment="1">
      <x:alignment wrapText="1"/>
    </x:xf>
    <x:xf numFmtId="0" fontId="14" fillId="36" borderId="17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vertical="center" wrapText="1"/>
    </x:xf>
    <x:xf numFmtId="0" fontId="0" fillId="33" xfId="0" applyNumberFormat="1" applyFont="1" applyFill="1" applyBorder="0" applyAlignment="1">
      <x:alignment vertical="top" wrapText="1"/>
    </x:xf>
    <x:xf numFmtId="0" fontId="7" fillId="33" xfId="0" applyNumberFormat="1" applyFont="1" applyFill="1" applyBorder="0" applyAlignment="1">
      <x:alignment vertical="top" wrapText="1"/>
    </x:xf>
    <x:xf numFmtId="0" fontId="0" fillId="31" borderId="13" xfId="0" applyNumberFormat="1" applyFont="1" applyFill="1" applyBorder="1" applyAlignment="1">
      <x:alignment vertical="top" wrapText="1"/>
    </x:xf>
    <x:xf numFmtId="0" fontId="7" fillId="31" borderId="13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203" fontId="0" fillId="0" borderId="13" xfId="0" applyNumberFormat="1" applyFont="1" applyFill="1" applyBorder="1" applyAlignment="1">
      <x:alignment vertical="top" wrapText="1"/>
    </x:xf>
    <x:xf numFmtId="203" fontId="14" fillId="36" borderId="16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7" fillId="5" xfId="0" applyNumberFormat="1" applyFont="1" applyFill="1" applyBorder="0" applyAlignment="1">
      <x:alignment vertical="top" wrapText="1"/>
    </x:xf>
    <x:xf numFmtId="0" fontId="3" fillId="2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7" fillId="20" xfId="0" applyNumberFormat="1" applyFont="1" applyFill="1" applyBorder="0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7" fillId="21" xfId="0" applyNumberFormat="1" applyFont="1" applyFill="1" applyBorder="0" applyAlignment="1">
      <x:alignment vertical="top" wrapText="1"/>
    </x:xf>
    <x:xf numFmtId="203" fontId="14" fillId="3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horizontal="center" vertical="center" wrapText="1"/>
    </x:xf>
    <x:xf numFmtId="0" fontId="1" fillId="39" borderId="0" xfId="0" applyNumberFormat="1" applyFont="1" applyFill="1" applyBorder="1" applyAlignment="1">
      <x:alignment horizontal="left" vertical="center" wrapText="1"/>
    </x:xf>
    <x:xf numFmtId="0" fontId="3" fillId="4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 applyAlignment="1">
      <x:alignment wrapText="1"/>
    </x:xf>
    <x:xf numFmtId="0" fontId="13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wrapText="1"/>
    </x:xf>
    <x:xf numFmtId="0" fontId="7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horizontal="left" wrapText="1"/>
    </x:xf>
    <x:xf numFmtId="0" fontId="1" fillId="45" borderId="0" xfId="0" applyNumberFormat="1" applyFont="1" applyFill="1" applyBorder="1" applyAlignment="1">
      <x:alignment horizontal="left" vertical="center" wrapText="1"/>
    </x:xf>
    <x:xf numFmtId="0" fontId="0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horizontal="left" wrapText="1"/>
    </x:xf>
    <x:xf numFmtId="0" fontId="4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 applyAlignment="1">
      <x:alignment wrapText="1"/>
    </x:xf>
    <x:xf numFmtId="0" fontId="15" fillId="47" borderId="0" xfId="0" applyNumberFormat="1" applyFont="1" applyFill="1" applyBorder="1" applyAlignment="1">
      <x:alignment wrapText="1"/>
    </x:xf>
    <x:xf numFmtId="0" fontId="15" fillId="47" borderId="0" xfId="0" applyNumberFormat="1" applyFont="1" applyFill="1" applyBorder="1" applyAlignment="1">
      <x:alignment horizontal="left" wrapText="1"/>
    </x:xf>
    <x:xf numFmtId="0" fontId="15" fillId="47" borderId="0" xfId="0" applyNumberFormat="1" applyFont="1" applyFill="1" applyBorder="1" applyAlignment="1">
      <x:alignment horizontal="left" vertical="center" wrapText="1"/>
    </x:xf>
    <x:xf numFmtId="0" fontId="0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horizontal="center" wrapText="1"/>
    </x:xf>
    <x:xf numFmtId="0" fontId="3" fillId="48" borderId="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 applyAlignment="1">
      <x:alignment wrapText="1"/>
    </x:xf>
    <x:xf numFmtId="0" fontId="16" fillId="49" borderId="0" xfId="0" applyNumberFormat="1" applyFont="1" applyFill="1" applyBorder="1" applyAlignment="1">
      <x:alignment wrapText="1"/>
    </x:xf>
    <x:xf numFmtId="0" fontId="16" fillId="49" borderId="0" xfId="0" applyNumberFormat="1" applyFont="1" applyFill="1" applyBorder="1" applyAlignment="1">
      <x:alignment horizontal="left" wrapText="1"/>
    </x:xf>
    <x:xf numFmtId="0" fontId="16" fillId="49" borderId="0" xfId="0" applyNumberFormat="1" applyFont="1" applyFill="1" applyBorder="1" applyAlignment="1">
      <x:alignment horizontal="left" vertical="center" wrapText="1"/>
    </x:xf>
    <x:xf numFmtId="0" fontId="16" fillId="50" borderId="0" xfId="0" applyNumberFormat="1" applyFont="1" applyFill="1" applyBorder="1" applyAlignment="1">
      <x:alignment horizontal="left" vertical="center" wrapText="1"/>
    </x:xf>
    <x:xf numFmtId="0" fontId="17" fillId="50" borderId="0" xfId="0" applyNumberFormat="1" applyFont="1" applyFill="1" applyBorder="1" applyAlignment="1">
      <x:alignment horizontal="left" vertical="center" wrapText="1"/>
    </x:xf>
    <x:xf numFmtId="0" fontId="17" fillId="50" borderId="0" xfId="0" applyNumberFormat="1" applyFont="1" applyFill="1" applyBorder="1" applyAlignment="1">
      <x:alignment horizontal="center" vertical="center" wrapText="1"/>
    </x:xf>
    <x:xf numFmtId="0" fontId="16" fillId="51" borderId="0" xfId="0" applyNumberFormat="1" applyFont="1" applyFill="1" applyBorder="1" applyAlignment="1">
      <x:alignment horizontal="left" vertical="center" wrapText="1"/>
    </x:xf>
    <x:xf numFmtId="0" fontId="10" fillId="51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4" fillId="42" borderId="0" xfId="0" applyNumberFormat="1" applyFont="1" applyFill="1" applyBorder="1" applyAlignment="1">
      <x:alignment wrapText="1"/>
    </x:xf>
    <x:xf numFmtId="0" fontId="4" fillId="42" borderId="0" xfId="0" applyNumberFormat="1" applyFont="1" applyFill="1" applyBorder="1" applyAlignment="1">
      <x:alignment horizontal="left" wrapText="1"/>
    </x:xf>
    <x:xf numFmtId="0" fontId="4" fillId="42" borderId="0" xfId="0" applyNumberFormat="1" applyFont="1" applyFill="1" applyBorder="1" applyAlignment="1">
      <x:alignment horizontal="left" vertical="center" wrapText="1"/>
    </x:xf>
    <x:xf numFmtId="0" fontId="16" fillId="20" borderId="0" xfId="0" applyNumberFormat="1" applyFont="1" applyFill="1" applyBorder="1" applyAlignment="1">
      <x:alignment horizontal="left" vertical="center" wrapText="1"/>
    </x:xf>
    <x:xf numFmtId="0" fontId="17" fillId="20" borderId="0" xfId="0" applyNumberFormat="1" applyFont="1" applyFill="1" applyBorder="1" applyAlignment="1">
      <x:alignment horizontal="left" vertical="center" wrapText="1"/>
    </x:xf>
    <x:xf numFmtId="0" fontId="17" fillId="20" borderId="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0" fillId="52" borderId="0" xfId="0" applyNumberFormat="1" applyFont="1" applyFill="1" applyBorder="1"/>
    <x:xf numFmtId="0" fontId="18" fillId="52" borderId="0" xfId="0" applyNumberFormat="1" applyFont="1" applyFill="1" applyBorder="1"/>
    <x:xf numFmtId="0" fontId="18" fillId="52" borderId="0" xfId="0" applyNumberFormat="1" applyFont="1" applyFill="1" applyBorder="1" applyAlignment="1">
      <x:alignment wrapText="1"/>
    </x:xf>
    <x:xf numFmtId="0" fontId="18" fillId="52" borderId="0" xfId="0" applyNumberFormat="1" applyFont="1" applyFill="1" applyBorder="1" applyAlignment="1">
      <x:alignment horizontal="left" wrapText="1"/>
    </x:xf>
    <x:xf numFmtId="0" fontId="18" fillId="52" borderId="0" xfId="0" applyNumberFormat="1" applyFont="1" applyFill="1" applyBorder="1" applyAlignment="1">
      <x:alignment horizontal="left" vertical="center" wrapText="1"/>
    </x:xf>
    <x:xf numFmtId="0" fontId="0" fillId="53" borderId="0" xfId="0" applyNumberFormat="1" applyFont="1" applyFill="1" applyBorder="1"/>
    <x:xf numFmtId="0" fontId="4" fillId="53" borderId="0" xfId="0" applyNumberFormat="1" applyFont="1" applyFill="1" applyBorder="1"/>
    <x:xf numFmtId="0" fontId="4" fillId="53" borderId="0" xfId="0" applyNumberFormat="1" applyFont="1" applyFill="1" applyBorder="1" applyAlignment="1">
      <x:alignment wrapText="1"/>
    </x:xf>
    <x:xf numFmtId="0" fontId="4" fillId="53" borderId="0" xfId="0" applyNumberFormat="1" applyFont="1" applyFill="1" applyBorder="1" applyAlignment="1">
      <x:alignment vertical="center" wrapText="1"/>
    </x:xf>
    <x:xf numFmtId="0" fontId="7" fillId="53" borderId="0" xfId="0" applyNumberFormat="1" applyFont="1" applyFill="1" applyBorder="1"/>
    <x:xf numFmtId="0" fontId="7" fillId="53" borderId="0" xfId="0" applyNumberFormat="1" applyFont="1" applyFill="1" applyBorder="1" applyAlignment="1">
      <x:alignment vertical="center"/>
    </x:xf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18" xfId="0" applyNumberFormat="1" applyFont="1" applyFill="1" applyBorder="1"/>
    <x:xf numFmtId="0" fontId="3" fillId="54" borderId="18" xfId="0" applyNumberFormat="1" applyFont="1" applyFill="1" applyBorder="1" applyAlignment="1">
      <x:alignment wrapText="1"/>
    </x:xf>
    <x:xf numFmtId="0" fontId="3" fillId="54" borderId="18" xfId="0" applyNumberFormat="1" applyFont="1" applyFill="1" applyBorder="1" applyAlignment="1">
      <x:alignment horizontal="center" wrapText="1"/>
    </x:xf>
    <x:xf numFmtId="0" fontId="3" fillId="54" borderId="18" xfId="0" applyNumberFormat="1" applyFont="1" applyFill="1" applyBorder="1" applyAlignment="1">
      <x:alignment horizontal="center" vertical="center" wrapText="1"/>
    </x:xf>
    <x:xf numFmtId="0" fontId="0" fillId="55" borderId="0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 applyAlignment="1">
      <x:alignment vertical="top" wrapText="1"/>
    </x:xf>
    <x:xf numFmtId="0" fontId="0" fillId="57" borderId="0" xfId="0" applyNumberFormat="1" applyFont="1" applyFill="1" applyBorder="1" applyAlignment="1">
      <x:alignment vertical="top" wrapText="1"/>
    </x:xf>
    <x:xf numFmtId="0" fontId="0" fillId="58" borderId="0" xfId="0" applyNumberFormat="1" applyFont="1" applyFill="1" applyBorder="1" applyAlignment="1">
      <x:alignment vertical="top" wrapText="1"/>
    </x:xf>
    <x:xf numFmtId="0" fontId="2" fillId="5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478c44bab4c2f" /><Relationship Type="http://schemas.openxmlformats.org/officeDocument/2006/relationships/theme" Target="/xl/theme/theme1.xml" Id="Rbc5c12df6668408c" /><Relationship Type="http://schemas.microsoft.com/office/2022/11/relationships/FeaturePropertyBag" Target="/xl/featurePropertyBag/featurePropertyBag.xml" Id="R80991708ffef46ff" /><Relationship Type="http://schemas.openxmlformats.org/officeDocument/2006/relationships/sharedStrings" Target="/xl/sharedStrings.xml" Id="R12ae66c43e8a4d50" /><Relationship Type="http://schemas.openxmlformats.org/officeDocument/2006/relationships/worksheet" Target="/xl/worksheets/sheet1.xml" Id="R58174d9498b54b41" /><Relationship Type="http://schemas.openxmlformats.org/officeDocument/2006/relationships/worksheet" Target="/xl/worksheets/sheet2.xml" Id="Rf5b10edc5ef64e91" /><Relationship Type="http://schemas.openxmlformats.org/officeDocument/2006/relationships/worksheet" Target="/xl/worksheets/sheet3.xml" Id="R61cb1f5e301e4b06" /><Relationship Type="http://schemas.openxmlformats.org/officeDocument/2006/relationships/worksheet" Target="/xl/worksheets/sheet4.xml" Id="R0918e5f3565b43cb" /><Relationship Type="http://schemas.openxmlformats.org/officeDocument/2006/relationships/worksheet" Target="/xl/worksheets/sheet5.xml" Id="R4307931f625f485a" /><Relationship Type="http://schemas.openxmlformats.org/officeDocument/2006/relationships/worksheet" Target="/xl/worksheets/sheet6.xml" Id="R5281252fd91c4b69" /><Relationship Type="http://schemas.openxmlformats.org/officeDocument/2006/relationships/worksheet" Target="/xl/worksheets/sheet7.xml" Id="R5cfc58e43c2d4c11" /><Relationship Type="http://schemas.openxmlformats.org/officeDocument/2006/relationships/worksheet" Target="/xl/worksheets/sheet8.xml" Id="R528af0d8776d4c57" /><Relationship Type="http://schemas.openxmlformats.org/officeDocument/2006/relationships/worksheet" Target="/xl/worksheets/sheet9.xml" Id="R7d4975ce27734028" /><Relationship Type="http://schemas.openxmlformats.org/officeDocument/2006/relationships/worksheet" Target="/xl/worksheets/sheet10.xml" Id="R042e6b5e02004e6d" /><Relationship Type="http://schemas.openxmlformats.org/officeDocument/2006/relationships/worksheet" Target="/xl/worksheets/sheet11.xml" Id="R09b94d997a684bf7" /><Relationship Type="http://schemas.openxmlformats.org/officeDocument/2006/relationships/worksheet" Target="/xl/worksheets/sheet12.xml" Id="Rb5fe83fe92ed4e79" /><Relationship Type="http://schemas.openxmlformats.org/officeDocument/2006/relationships/worksheet" Target="/xl/worksheets/sheet13.xml" Id="R67fbc3e690944b43" /><Relationship Type="http://schemas.openxmlformats.org/officeDocument/2006/relationships/worksheet" Target="/xl/worksheets/sheet14.xml" Id="R2afbf70d8c554f37" /><Relationship Type="http://schemas.openxmlformats.org/officeDocument/2006/relationships/worksheet" Target="/xl/worksheets/sheet15.xml" Id="Rf452498e82a0401f" /><Relationship Type="http://schemas.openxmlformats.org/officeDocument/2006/relationships/worksheet" Target="/xl/worksheets/sheet16.xml" Id="R86383654cddd40a3" /><Relationship Type="http://schemas.openxmlformats.org/officeDocument/2006/relationships/worksheet" Target="/xl/worksheets/sheet17.xml" Id="R658df77cfd2e4277" /><Relationship Type="http://schemas.openxmlformats.org/officeDocument/2006/relationships/worksheet" Target="/xl/worksheets/sheet18.xml" Id="R9b18c8da698949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7df9c84d8640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7df9c84d86406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90f315d9184728" /><Relationship Type="http://schemas.openxmlformats.org/officeDocument/2006/relationships/table" Target="/xl/tables/table1.xml" Id="R3206397393074486" /><Relationship Type="http://schemas.openxmlformats.org/officeDocument/2006/relationships/table" Target="/xl/tables/table2.xml" Id="Rfacaaca69e044b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c5e69470d5b4777" /><Relationship Type="http://schemas.openxmlformats.org/officeDocument/2006/relationships/table" Target="/xl/tables/table4.xml" Id="R23c345d1598a4566" /><Relationship Type="http://schemas.openxmlformats.org/officeDocument/2006/relationships/table" Target="/xl/tables/table5.xml" Id="R45a4acbfe7744455" /><Relationship Type="http://schemas.openxmlformats.org/officeDocument/2006/relationships/table" Target="/xl/tables/table6.xml" Id="R8b017bb48df543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f9abe9cca84140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0c2274e088944f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d0dd08e68a7d4d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c1eed296db5f4c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123997d69c554c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7da49c432e024d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c2640b13f3d440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d607c27e516344d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3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397" t="str">
        <x:v>Matrice completa dei test MA-GA / Eclipse MOSAIC / SUMO — stato dopo G04-R</x:v>
      </x:c>
      <x:c r="B1" s="397"/>
      <x:c r="C1" s="397"/>
      <x:c r="D1" s="397"/>
      <x:c r="E1" s="397"/>
      <x:c r="F1" s="397"/>
      <x:c r="G1" s="397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della campagna</x:v>
      </x:c>
      <x:c r="B4" s="20" t="str">
        <x:v>Branch operativo</x:v>
      </x:c>
      <x:c r="C4" s="11" t="str">
        <x:v>testing/final-campaign</x:v>
      </x:c>
      <x:c r="D4" s="11"/>
      <x:c r="E4" s="61" t="str">
        <x:v>G02 principale</x:v>
      </x:c>
      <x:c r="F4" s="61" t="str">
        <x:v>45/45 PASS</x:v>
      </x:c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/>
      <x:c r="B5" s="20" t="str">
        <x:v>HEAD dopo esecuzione G04-R</x:v>
      </x:c>
      <x:c r="C5" s="11" t="str">
        <x:v>5feafbd1942f1f09a809b0941596992fcd67a14a</x:v>
      </x:c>
      <x:c r="D5" s="11"/>
      <x:c r="E5" s="31" t="str">
        <x:v>G04-R</x:v>
      </x:c>
      <x:c r="F5" s="272" t="str">
        <x:v>PASS</x:v>
      </x:c>
      <x:c r="G5" s="272" t="str">
        <x:v>T-096 e T-098 recuperati con una run mirata valida.</x:v>
      </x:c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/>
      <x:c r="B6" s="20" t="str">
        <x:v>Core scientifico congelato</x:v>
      </x:c>
      <x:c r="C6" s="11" t="str">
        <x:v>5a9477735a3d707a5f000a64653cd2a6fc7f2007</x:v>
      </x:c>
      <x:c r="D6" s="11"/>
      <x:c r="E6" s="31" t="str">
        <x:v>Diff Java</x:v>
      </x:c>
      <x:c r="F6" s="31" t="str">
        <x:v>Vuoto</x:v>
      </x:c>
      <x:c r="G6" s="31" t="str">
        <x:v>Riconfermato durante G04-R.</x:v>
      </x:c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/>
      <x:c r="B7" s="20" t="str">
        <x:v>Chiusura G04-R</x:v>
      </x:c>
      <x:c r="C7" s="11" t="str">
        <x:v>Allineamento matrici e chiusura formale</x:v>
      </x:c>
      <x:c r="D7" s="11"/>
      <x:c r="E7" s="31" t="str">
        <x:v>Validator G04-R</x:v>
      </x:c>
      <x:c r="F7" s="31" t="str">
        <x:v>FAILED atteso</x:v>
      </x:c>
      <x:c r="G7" s="31" t="str">
        <x:v>Unico errore: tasksGeneratedCumulative &lt;= 0 con 19 task statici attivati.</x:v>
      </x:c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/>
      <x:c r="B8" s="20" t="str">
        <x:v>Sequenza successiva</x:v>
      </x:c>
      <x:c r="C8" s="11" t="str">
        <x:v>prima G07 → prima bozza capitolo → handoff ridotto → G02B → G07 definitiva</x:v>
      </x:c>
      <x:c r="D8" s="11"/>
      <x:c r="E8" s="31" t="str">
        <x:v>G02B</x:v>
      </x:c>
      <x:c r="F8" s="31" t="str">
        <x:v>DEFERRED_AFTER_PRELIMINARY_G07</x:v>
      </x:c>
      <x:c r="G8" s="31" t="str">
        <x:v>Baseline G02 riutilizzate; branch sperimentale separato.</x:v>
      </x:c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complessiva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Configurazioni pianificate e stato aggiornato dopo G06.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10</x:v>
      </x:c>
      <x:c r="B30" s="11" t="str">
        <x:v>12_Risultati_G02</x:v>
      </x:c>
      <x:c r="C30" s="11" t="str">
        <x:v>Risultati finali delle 45 run e baseline riutilizzabili.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303" t="str">
        <x:v>11–17</x:v>
      </x:c>
      <x:c r="B31" s="303" t="str">
        <x:v>13_Risultati_G03 / 14_Risultati_G04 / 15_Risultati_G05 / 16_Risultati_G06 / 17_Risultati_G04R</x:v>
      </x:c>
      <x:c r="C31" s="303" t="str">
        <x:v>Risultati conclusivi G03–G06 e recupero mirato G04-R.</x:v>
      </x:c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 ht="24" customHeight="1">
      <x:c r="A32" s="398" t="str">
        <x:v>Riepilogo al termine G04-R</x:v>
      </x:c>
      <x:c r="B32" s="398"/>
      <x:c r="C32" s="398"/>
      <x:c r="D32" s="398"/>
      <x:c r="E32" s="398"/>
      <x:c r="F32" s="398"/>
      <x:c r="G32" s="398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Stato G04-R</x:v>
      </x:c>
      <x:c r="B33" s="62" t="str">
        <x:v>PASS</x:v>
      </x:c>
      <x:c r="C33" s="11"/>
      <x:c r="D33" s="11"/>
      <x:c r="E33" s="11" t="str">
        <x:v>Run mirata valida</x:v>
      </x:c>
      <x:c r="F33" s="275" t="str">
        <x:v>1/1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 ht="32" customHeight="1">
      <x:c r="A34" s="20" t="str">
        <x:v>T-096 / T-098</x:v>
      </x:c>
      <x:c r="B34" s="11" t="str">
        <x:v>PASS / PASS</x:v>
      </x:c>
      <x:c r="C34" s="11"/>
      <x:c r="D34" s="11"/>
      <x:c r="E34" s="11" t="str">
        <x:v>Transizione osservata</x:v>
      </x:c>
      <x:c r="F34" s="276" t="str">
        <x:v>81,8 s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 ht="32" customHeight="1">
      <x:c r="A35" s="20" t="str">
        <x:v>Geni remoti probe</x:v>
      </x:c>
      <x:c r="B35" s="11" t="str">
        <x:v>123 CLOUD applicati</x:v>
      </x:c>
      <x:c r="C35" s="11"/>
      <x:c r="D35" s="11"/>
      <x:c r="E35" s="11" t="str">
        <x:v>Task statici</x:v>
      </x:c>
      <x:c r="F35" s="278" t="str">
        <x:v>19 attivati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GA job</x:v>
      </x:c>
      <x:c r="B36" s="11" t="str">
        <x:v>760/760/754</x:v>
      </x:c>
      <x:c r="C36" s="11"/>
      <x:c r="D36" s="11"/>
      <x:c r="E36" s="11" t="str">
        <x:v>Stale</x:v>
      </x:c>
      <x:c r="F36" s="11" t="str">
        <x:v>6 (0,789474%)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Validator canonico</x:v>
      </x:c>
      <x:c r="B37" s="11" t="str">
        <x:v>FAILED atteso: tasksGeneratedCumulative &lt;= 0</x:v>
      </x:c>
      <x:c r="C37" s="11"/>
      <x:c r="D37" s="11"/>
      <x:c r="E37" s="11" t="str">
        <x:v>Violazioni runtime</x:v>
      </x:c>
      <x:c r="F37" s="11" t="n">
        <x:v>0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Snapshot lag massimo</x:v>
      </x:c>
      <x:c r="B38" s="11" t="n">
        <x:v>0</x:v>
      </x:c>
      <x:c r="C38" s="11" t="str">
        <x:v>s</x:v>
      </x:c>
      <x:c r="D38" s="11"/>
      <x:c r="E38" s="11" t="str">
        <x:v>Modifiche Java</x:v>
      </x:c>
      <x:c r="F38" s="11" t="n">
        <x:v>0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Prossimo passo</x:v>
      </x:c>
      <x:c r="B39" s="11" t="str">
        <x:v>Prima G07 e prima bozza del capitolo</x:v>
      </x:c>
      <x:c r="C39" s="11"/>
      <x:c r="D39" s="11"/>
      <x:c r="E39" s="11" t="str">
        <x:v>Completion model</x:v>
      </x:c>
      <x:c r="F39" s="11" t="str">
        <x:v>NOT_IMPLEMENTED</x:v>
      </x:c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E4:L4"/>
    <x:mergeCell ref="E5:L8"/>
    <x:mergeCell ref="A10:L10"/>
    <x:mergeCell ref="A19:L19"/>
    <x:mergeCell ref="A32:D32"/>
    <x:mergeCell ref="A1:G1"/>
  </x:mergeCells>
  <x:pageMargins left="0.7" right="0.7" top="0.75" bottom="0.75" header="0.3" footer="0.3"/>
  <x:drawing xmlns:r="http://schemas.openxmlformats.org/officeDocument/2006/relationships" r:id="R6e90f315d9184728"/>
  <x:tableParts count="2">
    <x:tablePart xmlns:r="http://schemas.openxmlformats.org/officeDocument/2006/relationships" r:id="R3206397393074486"/>
    <x:tablePart xmlns:r="http://schemas.openxmlformats.org/officeDocument/2006/relationships" r:id="Rfacaaca69e044b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Profili, baseline e parametri di riferimento — stato dopo G04-R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Stabilità: 5/5 run nominal extended PASS in G03.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Confermato nelle run extended; H-S-EXT ha raggiunto 464 s prima dell’interruzione stress.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profile; G03 ha osservato un limite endurance a 464 s nella prova opzionale.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Baseline; G04-R usa overlay diagnostico ×0,5 senza modificare la baseline.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8c5e69470d5b4777"/>
    <x:tablePart xmlns:r="http://schemas.openxmlformats.org/officeDocument/2006/relationships" r:id="R23c345d1598a4566"/>
    <x:tablePart xmlns:r="http://schemas.openxmlformats.org/officeDocument/2006/relationships" r:id="R45a4acbfe7744455"/>
    <x:tablePart xmlns:r="http://schemas.openxmlformats.org/officeDocument/2006/relationships" r:id="R8b017bb48df543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  <x:col min="28" max="28" width="24" hidden="0" customWidth="1"/>
    <x:col min="29" max="29" width="45" hidden="0" customWidth="1"/>
  </x:cols>
  <x:sheetData>
    <x:row r="1" ht="28" customHeight="1">
      <x:c r="A1" s="60" t="str">
        <x:v>Configurazioni pianificate e stato al termine di G04-R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221" t="str">
        <x:v>Stato al termine G02</x:v>
      </x:c>
      <x:c r="AC3" s="221" t="str">
        <x:v>Evidenza / nota post-G02</x:v>
      </x:c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223" t="str">
        <x:v>PASS</x:v>
      </x:c>
      <x:c r="AC4" s="223" t="str">
        <x:v>Freeze e repository verificati in G00/G01.</x:v>
      </x:c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223" t="str">
        <x:v>PASS</x:v>
      </x:c>
      <x:c r="AC5" s="223" t="str">
        <x:v>Configurazioni e materializzazioni validate.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224" t="str">
        <x:v>PASS_CON_LIMITAZIONE</x:v>
      </x:c>
      <x:c r="AC6" s="224" t="str">
        <x:v>Smoke G01 valido; JAR recuperato e validato, non fresh build.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275" t="str">
        <x:v>PASS_LOGICALLY_IDENTICAL</x:v>
      </x:c>
      <x:c r="AC7" s="275" t="str">
        <x:v>2/2 materializzazioni validate; confronto normalizzato con zero differenze logiche.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275" t="str">
        <x:v>PASS_3_OF_3</x:v>
      </x:c>
      <x:c r="AC8" s="275" t="str">
        <x:v>Contatori funzionali identici; runtime wall-clock e job GA variabili per asincronia host.</x:v>
      </x:c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223" t="str">
        <x:v>PASS_5_OF_5</x:v>
      </x:c>
      <x:c r="AC9" s="223" t="str">
        <x:v>Cinque seed completati con validator PASS, lag 0 e violazioni 0.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223" t="str">
        <x:v>PASS_5_OF_5</x:v>
      </x:c>
      <x:c r="AC10" s="223" t="str">
        <x:v>Cinque seed completati con validator PASS, lag 0 e violazioni 0.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223" t="str">
        <x:v>PASS_5_OF_5</x:v>
      </x:c>
      <x:c r="AC11" s="223" t="str">
        <x:v>Cinque seed completati con validator PASS, lag 0 e violazioni 0.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223" t="str">
        <x:v>PASS_5_OF_5</x:v>
      </x:c>
      <x:c r="AC12" s="223" t="str">
        <x:v>Cinque seed completati con validator PASS, lag 0 e violazioni 0.</x:v>
      </x:c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223" t="str">
        <x:v>PASS_5_OF_5</x:v>
      </x:c>
      <x:c r="AC13" s="223" t="str">
        <x:v>Cinque seed completati con validator PASS, lag 0 e violazioni 0.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223" t="str">
        <x:v>PASS_5_OF_5</x:v>
      </x:c>
      <x:c r="AC14" s="223" t="str">
        <x:v>Cinque seed completati con validator PASS, lag 0 e violazioni 0.</x:v>
      </x:c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223" t="str">
        <x:v>PASS_5_OF_5</x:v>
      </x:c>
      <x:c r="AC15" s="223" t="str">
        <x:v>Cinque seed completati con validator PASS, lag 0 e violazioni 0.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223" t="str">
        <x:v>PASS_5_OF_5</x:v>
      </x:c>
      <x:c r="AC16" s="223" t="str">
        <x:v>Cinque seed completati con validator PASS, lag 0 e violazioni 0.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223" t="str">
        <x:v>PASS_5_OF_5</x:v>
      </x:c>
      <x:c r="AC17" s="223" t="str">
        <x:v>Cinque seed completati con validator PASS, lag 0 e violazioni 0.</x:v>
      </x:c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275" t="str">
        <x:v>PASS_5_OF_5</x:v>
      </x:c>
      <x:c r="AC18" s="275" t="str">
        <x:v>Cinque run da 600 s PASS; validator 0/0, lag 0, violazioni 0, ultimo apply 599,9–600 s.</x:v>
      </x:c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278" t="str">
        <x:v>OPTIONAL_STRESS_LIMIT_OBSERVED</x:v>
      </x:c>
      <x:c r="AC19" s="278" t="str">
        <x:v>Run opzionale interrotta a 464/600 s per watchdog federati e TraCI VehicleGetTaxiFleet; nessun rerun.</x:v>
      </x:c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309" t="str">
        <x:v>PASS_1_OF_1</x:v>
      </x:c>
      <x:c r="AC20" s="11" t="str">
        <x:v>M-BACKGROUND-01: validator PASS; solo LOCAL applicato; accesso remoto non osservato nelle decisioni applicate.</x:v>
      </x:c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309" t="str">
        <x:v>PASS_1_OF_1</x:v>
      </x:c>
      <x:c r="AC21" s="11" t="str">
        <x:v>M-RSU0-01: candidati EDGE/CLOUD costruiti; nessuna assegnazione remota applicata; evidenza EDGE parziale.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309" t="str">
        <x:v>PASS_1_OF_1</x:v>
      </x:c>
      <x:c r="AC22" s="11" t="str">
        <x:v>M-RSU1-01: 2 assegnazioni CLOUD applicate via gateway geometrico; placeholder legacy assente.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311" t="str">
        <x:v>PASS_1_OF_1_WITH_OBSERVABILITY_LIMIT</x:v>
      </x:c>
      <x:c r="AC23" s="11" t="str">
        <x:v>M-SWITCH-01: run tecnica PASS, ma G04_gateway_transitions.csv non mostra transizioni; gateway switch NON_OSSERVATO.</x:v>
      </x:c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311" t="str">
        <x:v>PASS_1_OF_1_WITH_RUNTIME_LIMIT</x:v>
      </x:c>
      <x:c r="AC24" s="11" t="str">
        <x:v>M-V2V-01: candidati e velocità relativa scalare osservati; 0 assegnazioni VEHICLE applicate; stale 48,186528% senza lag/violazioni.</x:v>
      </x:c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 t="str">
        <x:v>PASS_WITH_REPRODUCIBLE_TEMPORAL_LIMIT</x:v>
      </x:c>
      <x:c r="AC25" s="11" t="str">
        <x:v>3 osservazioni: offloading remoto riprodotto; lungo gap finale riprodotto. Verdetto G05 definitivo.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 t="str">
        <x:v>PASS_TARGET_RESOURCE_NOT_EXERCISED</x:v>
      </x:c>
      <x:c r="AC26" s="11" t="str">
        <x:v>Run tecnica PASS; EDGE ridotto ma 0 assegnazioni EDGE applicate. Evitamento osservato, repair non dimostrato.</x:v>
      </x:c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 t="str">
        <x:v>PASS_TARGET_RESOURCE_NOT_EXERCISED</x:v>
      </x:c>
      <x:c r="AC27" s="11" t="str">
        <x:v>Run tecnica PASS; CLOUD ridotto ma 0 assegnazioni CLOUD applicate. Evitamento osservato, repair non dimostrato.</x:v>
      </x:c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 t="str">
        <x:v>PASS_TARGET_LINK_NOT_EXERCISED</x:v>
      </x:c>
      <x:c r="AC28" s="11" t="str">
        <x:v>Run tecnica PASS; banda CELL ridotta ma 0 assegnazioni EDGE/CLOUD applicate.</x:v>
      </x:c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 t="str">
        <x:v>PASS_WITH_STRESS_LIMIT_TARGET_NOT_EXERCISED</x:v>
      </x:c>
      <x:c r="AC29" s="11" t="str">
        <x:v>Run tecnica PASS; high_density, stale 46,808511%, 0 VEHICLE applicate; limite stress documentato.</x:v>
      </x:c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 t="str">
        <x:v>PASS_STABLE_TARGET_LINK_NOT_EXERCISED</x:v>
      </x:c>
      <x:c r="AC30" s="11" t="str">
        <x:v>Run tecnica stabile; RTT elevato ma 0 EDGE/CLOUD applicate; 1 VEHICLE non usa CELL.</x:v>
      </x:c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 t="str">
        <x:v>SKIPPED_NOT_REQUIRED_FOR_MANDATORY_G06</x:v>
      </x:c>
      <x:c r="AC31" s="11" t="str">
        <x:v>Esposizione provata e materializzazione presente; run non eseguita perché i test obbligatori risultano già coperti dal corpus cross-run.</x:v>
      </x:c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 t="str">
        <x:v>DEFERRED_OPTIONAL_NOT_REQUIRED_FOR_CANONICAL_G06</x:v>
      </x:c>
      <x:c r="AC32" s="11" t="str">
        <x:v>Configurazione materializzata ma esposizione ADAPTIVE non provata; T-121 è opzionale e non canonico.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 t="str">
        <x:v>PASS_WITH_EXPECTED_CANONICAL_VALIDATOR_REJECTION</x:v>
      </x:c>
      <x:c r="AC33" s="11" t="str">
        <x:v>G-STALE-01: 33/33 job completati e scartati come stale; 0 applicazioni; validator canonico respinge solo strategyApplications &lt;= 0; lag e violazioni 0.</x:v>
      </x:c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CFG-G04-R-HANDOVER</x:v>
      </x:c>
      <x:c r="B34" s="11" t="str">
        <x:v>D</x:v>
      </x:c>
      <x:c r="C34" s="11" t="str">
        <x:v>Mobilità recovery</x:v>
      </x:c>
      <x:c r="D34" s="11" t="str">
        <x:v>Sì</x:v>
      </x:c>
      <x:c r="E34" s="11" t="str">
        <x:v>Sì</x:v>
      </x:c>
      <x:c r="F34" s="11" t="str">
        <x:v>low_density</x:v>
      </x:c>
      <x:c r="G34" s="11" t="str">
        <x:v>180 s</x:v>
      </x:c>
      <x:c r="H34" s="11" t="str">
        <x:v>104729</x:v>
      </x:c>
      <x:c r="I34" s="11" t="str">
        <x:v>STATIC_PROBE_HEAVY</x:v>
      </x:c>
      <x:c r="J34" s="11" t="n">
        <x:v>0</x:v>
      </x:c>
      <x:c r="K34" s="11" t="n">
        <x:v>0</x:v>
      </x:c>
      <x:c r="L34" s="11" t="n">
        <x:v>0</x:v>
      </x:c>
      <x:c r="M34" s="11" t="n">
        <x:v>1</x:v>
      </x:c>
      <x:c r="N34" s="11" t="str">
        <x:v>route_dual_rsu_switch_04</x:v>
      </x:c>
      <x:c r="O34" s="11" t="n">
        <x:v>0.5</x:v>
      </x:c>
      <x:c r="P34" s="11" t="n">
        <x:v>1</x:v>
      </x:c>
      <x:c r="Q34" s="11" t="n">
        <x:v>1</x:v>
      </x:c>
      <x:c r="R34" s="11" t="n">
        <x:v>1</x:v>
      </x:c>
      <x:c r="S34" s="11" t="n">
        <x:v>1</x:v>
      </x:c>
      <x:c r="T34" s="11" t="n">
        <x:v>1</x:v>
      </x:c>
      <x:c r="U34" s="11" t="n">
        <x:v>1</x:v>
      </x:c>
      <x:c r="V34" s="11" t="n">
        <x:v>1</x:v>
      </x:c>
      <x:c r="W34" s="11" t="str">
        <x:v>STATIC</x:v>
      </x:c>
      <x:c r="X34" s="11" t="n">
        <x:v>0</x:v>
      </x:c>
      <x:c r="Y34" s="11" t="str">
        <x:v>Osservare una transizione rsu_0→rsu_1 con task remoto e strategia applicata.</x:v>
      </x:c>
      <x:c r="Z34" s="11" t="str">
        <x:v>T-096 e T-098; T-091/T-094 secondari.</x:v>
      </x:c>
      <x:c r="AA34" s="11" t="str">
        <x:v>Overlay isolato; 19 task statici; probe runtime veh_2 derivato da synthetic_005.</x:v>
      </x:c>
      <x:c r="AB34" s="11" t="str">
        <x:v>PASS_WITH_EXPECTED_STATIC_WORKLOAD_VALIDATOR_REJECTION</x:v>
      </x:c>
      <x:c r="AC34" s="11" t="str">
        <x:v>Run log-20260624-233717; transizione 81,8 s; 123 CLOUD applicati; 0 EDGE; coverage false 0; lag e violazioni 0.</x:v>
      </x:c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  <x:mergeCell ref="A1:AC1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abe9cca84140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0" hidden="0" customWidth="1"/>
    <x:col min="15" max="15" width="36" hidden="0" customWidth="1"/>
    <x:col min="16" max="16" width="38" hidden="0" customWidth="1"/>
    <x:col min="18" max="18" width="42" hidden="0" customWidth="1"/>
    <x:col min="19" max="19" width="35" hidden="0" customWidth="1"/>
    <x:col min="20" max="20" width="18" hidden="0" customWidth="1"/>
    <x:col min="21" max="21" width="30" hidden="0" customWidth="1"/>
    <x:col min="22" max="22" width="30" hidden="0" customWidth="1"/>
    <x:col min="23" max="23" width="52" hidden="0" customWidth="1"/>
  </x:cols>
  <x:sheetData>
    <x:row r="1" ht="28" customHeight="1">
      <x:c r="A1" s="60" t="str">
        <x:v>Piano operativo delle run — G04-R conclusa; prima G07 prossima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/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221" t="str">
        <x:v>Confronto richiesto</x:v>
      </x:c>
      <x:c r="S3" s="221" t="str">
        <x:v>Configurazioni minime</x:v>
      </x:c>
      <x:c r="T3" s="221" t="str">
        <x:v>Seed</x:v>
      </x:c>
      <x:c r="U3" s="221" t="str">
        <x:v>Stato audit</x:v>
      </x:c>
      <x:c r="V3" s="221" t="str">
        <x:v>Vincolo</x:v>
      </x:c>
      <x:c r="W3" s="221" t="str">
        <x:v>Conclusione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11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Branch testing/final-campaign verificato. Core scientifico congelato: 5a9477735a3d707a5f000a64653cd2a6fc7f2007. Commit di chiusura G01: 0be2507becf47e9e5c104b61b22bec407fdc0877. HEAD corrente pre-G02 dopo consolidamento documentale: 95e51e186f5e846b41a8ece7db416f67e60312ef. Working tree pulito e remoto allineato; diff Java/core vuoto.</x:v>
      </x:c>
      <x:c r="Q4" s="11"/>
      <x:c r="R4" s="102" t="str">
        <x:v>MA-GA completo vs LOCAL-only</x:v>
      </x:c>
      <x:c r="S4" s="102" t="str">
        <x:v>CFG-N-I; CFG-N-S; CFG-H-I; CFG-H-S facoltativa</x:v>
      </x:c>
      <x:c r="T4" s="102" t="str">
        <x:v>5 seed ufficiali</x:v>
      </x:c>
      <x:c r="U4" s="226" t="str">
        <x:v>NOT_EXPOSED</x:v>
      </x:c>
      <x:c r="V4" s="226" t="str">
        <x:v>Branch sperimentale dopo audit residui</x:v>
      </x:c>
      <x:c r="W4" s="226" t="str">
        <x:v>LOCAL-only resta previsto come ablation finale; modifica minima da discutere.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11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 completato: 69 istanze preparate e verificate; configurazioni classificate; serializzazione della banda corretta senza modificare il valore calibrato; nessuna modifica Java/core.</x:v>
      </x:c>
      <x:c r="Q5" s="11"/>
      <x:c r="R5" s="102" t="str">
        <x:v>MA-GA completo vs penalità mobility-aware disattivata</x:v>
      </x:c>
      <x:c r="S5" s="102" t="str">
        <x:v>CFG-N-I; CFG-N-S; CFG-H-I; CFG-H-S facoltativa</x:v>
      </x:c>
      <x:c r="T5" s="102" t="str">
        <x:v>5 seed ufficiali</x:v>
      </x:c>
      <x:c r="U5" s="226" t="str">
        <x:v>CORE_PRESENT_CONFIG_NOT_EXPOSED</x:v>
      </x:c>
      <x:c r="V5" s="226" t="str">
        <x:v>Branch sperimentale dopo audit residui</x:v>
      </x:c>
      <x:c r="W5" s="226" t="str">
        <x:v>Penalità mobility-aware disattivabile tramite switch futuro.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11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Simulazione 180/180 s completata. Post-processing recuperato offline senza ripetere la simulazione. JAR in modalità RECOVERED_VALIDATED_ARTIFACT; fresh build Windows non dimostrata. Alias originario MAT-SMOKE-104729 accettato.</x:v>
      </x:c>
      <x:c r="Q6" s="11"/>
      <x:c r="R6" s="102" t="str">
        <x:v>Cold start vs population reuse</x:v>
      </x:c>
      <x:c r="S6" s="102" t="str">
        <x:v>CFG-N-I; CFG-N-S; CFG-H-I; CFG-H-S facoltativa</x:v>
      </x:c>
      <x:c r="T6" s="102" t="str">
        <x:v>5 seed ufficiali</x:v>
      </x:c>
      <x:c r="U6" s="226" t="str">
        <x:v>CORE_PRESENT_CONFIG_NOT_EXPOSED</x:v>
      </x:c>
      <x:c r="V6" s="226" t="str">
        <x:v>Branch sperimentale dopo audit residui</x:v>
      </x:c>
      <x:c r="W6" s="226" t="str">
        <x:v>Cold start/no reuse da esporre con switch futuro.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11" t="str">
        <x:v>PASS</x:v>
      </x:c>
      <x:c r="L7" s="11" t="str">
        <x:v>—</x:v>
      </x:c>
      <x:c r="M7" s="11" t="str">
        <x:v>MATERIALIZED_VALIDATED</x:v>
      </x:c>
      <x:c r="N7" s="11" t="n">
        <x:v>0</x:v>
      </x:c>
      <x:c r="O7" s="11" t="str">
        <x:v>Prima materializzazione.</x:v>
      </x:c>
      <x:c r="P7" s="11" t="str">
        <x:v>MAT-CFG-REPRO-104729-A; confronto logico normalizzato PASS.</x:v>
      </x:c>
      <x:c r="Q7" s="11"/>
      <x:c r="R7" s="102" t="str">
        <x:v>Random-feasible o greedy</x:v>
      </x:c>
      <x:c r="S7" s="102" t="str">
        <x:v>Sottoinsieme rappresentativo</x:v>
      </x:c>
      <x:c r="T7" s="102" t="str">
        <x:v>5 seed ufficiali</x:v>
      </x:c>
      <x:c r="U7" s="226" t="str">
        <x:v>NO_EVIDENCE</x:v>
      </x:c>
      <x:c r="V7" s="226" t="str">
        <x:v>Branch sperimentale dopo audit residui</x:v>
      </x:c>
      <x:c r="W7" s="226" t="str">
        <x:v>Random/greedy resta opzionale e non va introdotta se non necessaria.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11" t="str">
        <x:v>PASS</x:v>
      </x:c>
      <x:c r="L8" s="11" t="str">
        <x:v>—</x:v>
      </x:c>
      <x:c r="M8" s="11" t="str">
        <x:v>MATERIALIZED_VALIDATED</x:v>
      </x:c>
      <x:c r="N8" s="11" t="n">
        <x:v>0</x:v>
      </x:c>
      <x:c r="O8" s="11" t="str">
        <x:v>Seconda materializzazione da confrontare.</x:v>
      </x:c>
      <x:c r="P8" s="11" t="str">
        <x:v>MAT-CFG-REPRO-104729-B; confronto logico normalizzato PASS.</x:v>
      </x:c>
      <x:c r="Q8" s="11"/>
      <x:c r="R8" s="11" t="str">
        <x:v>Baseline FULL_MA_GA</x:v>
      </x:c>
      <x:c r="S8" s="11" t="str">
        <x:v>CFG-N-I; CFG-N-S; CFG-H-I; CFG-H-S facoltativa</x:v>
      </x:c>
      <x:c r="T8" s="11" t="str">
        <x:v>5 seed ufficiali</x:v>
      </x:c>
      <x:c r="U8" s="223" t="str">
        <x:v>AVAILABLE</x:v>
      </x:c>
      <x:c r="V8" s="223" t="str">
        <x:v>Branch sperimentale dopo audit residui</x:v>
      </x:c>
      <x:c r="W8" s="223" t="str">
        <x:v>Riutilizzare i risultati FULL_MA_GA di G02 senza ripetere le run.</x:v>
      </x:c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11" t="str">
        <x:v>PASS</x:v>
      </x:c>
      <x:c r="L9" s="11" t="str">
        <x:v>log-20260623-175912-MaGaLiteratureBasedUrbanStudy</x:v>
      </x:c>
      <x:c r="M9" s="11" t="str">
        <x:v>LITERATURE_SMOKE_TEST_PASSED</x:v>
      </x:c>
      <x:c r="N9" s="11" t="n">
        <x:v>0</x:v>
      </x:c>
      <x:c r="O9" s="11" t="str">
        <x:v>Misurare variabilità JVM.</x:v>
      </x:c>
      <x:c r="P9" s="11" t="str">
        <x:v>Task 9306; GA 616/616/616; stale 0; runtime medio 0.034015 s; lag 0; violazioni 0.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11" t="str">
        <x:v>PASS</x:v>
      </x:c>
      <x:c r="L10" s="11" t="str">
        <x:v>log-20260623-175957-MaGaLiteratureBasedUrbanStudy</x:v>
      </x:c>
      <x:c r="M10" s="11" t="str">
        <x:v>LITERATURE_SMOKE_TEST_PASSED</x:v>
      </x:c>
      <x:c r="N10" s="11" t="n">
        <x:v>0</x:v>
      </x:c>
      <x:c r="O10" s="11" t="str">
        <x:v>Misurare variabilità JVM.</x:v>
      </x:c>
      <x:c r="P10" s="11" t="str">
        <x:v>Task 9306; GA 550/550/548; stale 2; runtime medio 0.036719 s; lag 0; violazioni 0.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11" t="str">
        <x:v>PASS</x:v>
      </x:c>
      <x:c r="L11" s="11" t="str">
        <x:v>log-20260623-180043-MaGaLiteratureBasedUrbanStudy</x:v>
      </x:c>
      <x:c r="M11" s="11" t="str">
        <x:v>LITERATURE_SMOKE_TEST_PASSED</x:v>
      </x:c>
      <x:c r="N11" s="11" t="n">
        <x:v>0</x:v>
      </x:c>
      <x:c r="O11" s="11" t="str">
        <x:v>Misurare variabilità JVM.</x:v>
      </x:c>
      <x:c r="P11" s="11" t="str">
        <x:v>Task 9306; GA 474/474/474; stale 0; runtime medio 0.044145 s; lag 0; violazioni 0.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137" t="str">
        <x:v>PASS</x:v>
      </x:c>
      <x:c r="L12" s="11" t="str">
        <x:v>log-20260623-001953-MaGaLiteratureBasedUrbanStudy</x:v>
      </x:c>
      <x:c r="M12" s="11" t="str">
        <x:v>LITERATURE_SMOKE_TEST_PASSED</x:v>
      </x:c>
      <x:c r="N12" s="138" t="n">
        <x:v>0</x:v>
      </x:c>
      <x:c r="O12" s="11" t="str">
        <x:v>PASS; task 5667; pending 17; GA 720/720/717; stale 3 (0.416667%); runtime medio 0.028437 s; P95 0.062659 s; lag 0 s; violazioni 0. Run recuperata dopo errore del wrapper; simulazione non ripetuta.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137" t="str">
        <x:v>PASS</x:v>
      </x:c>
      <x:c r="L13" s="11" t="str">
        <x:v>log-20260623-002653-MaGaLiteratureBasedUrbanStudy</x:v>
      </x:c>
      <x:c r="M13" s="11" t="str">
        <x:v>LITERATURE_SMOKE_TEST_PASSED</x:v>
      </x:c>
      <x:c r="N13" s="138" t="n">
        <x:v>0</x:v>
      </x:c>
      <x:c r="O13" s="11" t="str">
        <x:v>PASS; task 5344; pending 24; GA 733/733/730; stale 3 (0.409277%); runtime medio 0.027099 s; P95 0.063245 s; lag 0 s; violazioni 0.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137" t="str">
        <x:v>PASS</x:v>
      </x:c>
      <x:c r="L14" s="11" t="str">
        <x:v>log-20260623-002754-MaGaLiteratureBasedUrbanStudy</x:v>
      </x:c>
      <x:c r="M14" s="11" t="str">
        <x:v>LITERATURE_SMOKE_TEST_PASSED</x:v>
      </x:c>
      <x:c r="N14" s="138" t="n">
        <x:v>0</x:v>
      </x:c>
      <x:c r="O14" s="11" t="str">
        <x:v>PASS; task 5483; pending 33; GA 742/742/740; stale 2 (0.269542%); runtime medio 0.027787 s; P95 0.059313 s; lag 0 s; violazioni 0.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137" t="str">
        <x:v>PASS</x:v>
      </x:c>
      <x:c r="L15" s="11" t="str">
        <x:v>log-20260623-002856-MaGaLiteratureBasedUrbanStudy</x:v>
      </x:c>
      <x:c r="M15" s="11" t="str">
        <x:v>LITERATURE_SMOKE_TEST_PASSED</x:v>
      </x:c>
      <x:c r="N15" s="138" t="n">
        <x:v>0</x:v>
      </x:c>
      <x:c r="O15" s="11" t="str">
        <x:v>PASS; task 5639; pending 25; GA 742/742/742; stale 0 (0.000000%); runtime medio 0.026768 s; P95 0.056210 s; lag 0 s; violazioni 0.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137" t="str">
        <x:v>PASS</x:v>
      </x:c>
      <x:c r="L16" s="11" t="str">
        <x:v>log-20260623-002958-MaGaLiteratureBasedUrbanStudy</x:v>
      </x:c>
      <x:c r="M16" s="11" t="str">
        <x:v>LITERATURE_SMOKE_TEST_PASSED</x:v>
      </x:c>
      <x:c r="N16" s="138" t="n">
        <x:v>0</x:v>
      </x:c>
      <x:c r="O16" s="11" t="str">
        <x:v>PASS; task 5365; pending 27; GA 838/838/838; stale 0 (0.000000%); runtime medio 0.024082 s; P95 0.056536 s; lag 0 s; violazioni 0.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11" t="str">
        <x:v>PASS</x:v>
      </x:c>
      <x:c r="L17" s="11" t="str">
        <x:v>log-20260623-010148-MaGaLiteratureBasedUrbanStudy</x:v>
      </x:c>
      <x:c r="M17" s="11" t="str">
        <x:v>LITERATURE_SMOKE_TEST_PASSED</x:v>
      </x:c>
      <x:c r="N17" s="11" t="n">
        <x:v>0</x:v>
      </x:c>
      <x:c r="O17" s="11" t="str">
        <x:v>PASS; task 5667; pending 23; GA 691/691/689; stale 2 (0.289436%); runtime medio 0.032326 s; P95 0.064246 s; lag 0 s; violazioni 0.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11" t="str">
        <x:v>PASS</x:v>
      </x:c>
      <x:c r="L18" s="11" t="str">
        <x:v>log-20260623-010249-MaGaLiteratureBasedUrbanStudy</x:v>
      </x:c>
      <x:c r="M18" s="11" t="str">
        <x:v>LITERATURE_SMOKE_TEST_PASSED</x:v>
      </x:c>
      <x:c r="N18" s="11" t="n">
        <x:v>0</x:v>
      </x:c>
      <x:c r="O18" s="11" t="str">
        <x:v>PASS; task 5344; pending 32; GA 723/723/722; stale 1 (0.138313%); runtime medio 0.028166 s; P95 0.061440 s; lag 0 s; violazioni 0.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11" t="str">
        <x:v>PASS</x:v>
      </x:c>
      <x:c r="L19" s="11" t="str">
        <x:v>log-20260623-010350-MaGaLiteratureBasedUrbanStudy</x:v>
      </x:c>
      <x:c r="M19" s="11" t="str">
        <x:v>LITERATURE_SMOKE_TEST_PASSED</x:v>
      </x:c>
      <x:c r="N19" s="11" t="n">
        <x:v>0</x:v>
      </x:c>
      <x:c r="O19" s="11" t="str">
        <x:v>PASS; task 5483; pending 41; GA 718/718/718; stale 0 (0.000000%); runtime medio 0.028172 s; P95 0.058179 s; lag 0 s; violazioni 0.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11" t="str">
        <x:v>PASS</x:v>
      </x:c>
      <x:c r="L20" s="11" t="str">
        <x:v>log-20260623-010452-MaGaLiteratureBasedUrbanStudy</x:v>
      </x:c>
      <x:c r="M20" s="11" t="str">
        <x:v>LITERATURE_SMOKE_TEST_PASSED</x:v>
      </x:c>
      <x:c r="N20" s="11" t="n">
        <x:v>0</x:v>
      </x:c>
      <x:c r="O20" s="11" t="str">
        <x:v>PASS; task 5639; pending 35; GA 687/687/686; stale 1 (0.145560%); runtime medio 0.030884 s; P95 0.058127 s; lag 0 s; violazioni 0.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11" t="str">
        <x:v>PASS</x:v>
      </x:c>
      <x:c r="L21" s="11" t="str">
        <x:v>log-20260623-010554-MaGaLiteratureBasedUrbanStudy</x:v>
      </x:c>
      <x:c r="M21" s="11" t="str">
        <x:v>LITERATURE_SMOKE_TEST_PASSED</x:v>
      </x:c>
      <x:c r="N21" s="11" t="n">
        <x:v>0</x:v>
      </x:c>
      <x:c r="O21" s="11" t="str">
        <x:v>PASS; task 5365; pending 31; GA 728/728/726; stale 2 (0.274725%); runtime medio 0.028692 s; P95 0.063013 s; lag 0 s; violazioni 0.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11" t="str">
        <x:v>PASS</x:v>
      </x:c>
      <x:c r="L22" s="11" t="str">
        <x:v>log-20260623-010936-MaGaLiteratureBasedUrbanStudy</x:v>
      </x:c>
      <x:c r="M22" s="11" t="str">
        <x:v>LITERATURE_SMOKE_TEST_PASSED</x:v>
      </x:c>
      <x:c r="N22" s="11" t="n">
        <x:v>0</x:v>
      </x:c>
      <x:c r="O22" s="11" t="str">
        <x:v>PASS; task 5667; pending 47; GA 581/581/580; stale 1 (0.172117%); runtime medio 0.045632 s; P95 0.090620 s; lag 0 s; violazioni 0.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11" t="str">
        <x:v>PASS</x:v>
      </x:c>
      <x:c r="L23" s="11" t="str">
        <x:v>log-20260623-011038-MaGaLiteratureBasedUrbanStudy</x:v>
      </x:c>
      <x:c r="M23" s="11" t="str">
        <x:v>LITERATURE_SMOKE_TEST_PASSED</x:v>
      </x:c>
      <x:c r="N23" s="11" t="n">
        <x:v>0</x:v>
      </x:c>
      <x:c r="O23" s="11" t="str">
        <x:v>PASS; task 5344; pending 51; GA 620/620/620; stale 0 (0.000000%); runtime medio 0.039122 s; P95 0.081537 s; lag 0 s; violazioni 0.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11" t="str">
        <x:v>PASS</x:v>
      </x:c>
      <x:c r="L24" s="11" t="str">
        <x:v>log-20260623-011139-MaGaLiteratureBasedUrbanStudy</x:v>
      </x:c>
      <x:c r="M24" s="11" t="str">
        <x:v>LITERATURE_SMOKE_TEST_PASSED</x:v>
      </x:c>
      <x:c r="N24" s="11" t="n">
        <x:v>0</x:v>
      </x:c>
      <x:c r="O24" s="11" t="str">
        <x:v>PASS; task 5483; pending 59; GA 602/602/602; stale 0 (0.000000%); runtime medio 0.039331 s; P95 0.075413 s; lag 0 s; violazioni 0.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11" t="str">
        <x:v>PASS</x:v>
      </x:c>
      <x:c r="L25" s="11" t="str">
        <x:v>log-20260623-011241-MaGaLiteratureBasedUrbanStudy</x:v>
      </x:c>
      <x:c r="M25" s="11" t="str">
        <x:v>LITERATURE_SMOKE_TEST_PASSED</x:v>
      </x:c>
      <x:c r="N25" s="11" t="n">
        <x:v>0</x:v>
      </x:c>
      <x:c r="O25" s="11" t="str">
        <x:v>PASS; task 5639; pending 51; GA 604/604/604; stale 0 (0.000000%); runtime medio 0.041334 s; P95 0.077236 s; lag 0 s; violazioni 0.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11" t="str">
        <x:v>PASS</x:v>
      </x:c>
      <x:c r="L26" s="11" t="str">
        <x:v>log-20260623-011342-MaGaLiteratureBasedUrbanStudy</x:v>
      </x:c>
      <x:c r="M26" s="11" t="str">
        <x:v>LITERATURE_SMOKE_TEST_PASSED</x:v>
      </x:c>
      <x:c r="N26" s="11" t="n">
        <x:v>0</x:v>
      </x:c>
      <x:c r="O26" s="11" t="str">
        <x:v>PASS; task 5365; pending 54; GA 623/623/623; stale 0 (0.000000%); runtime medio 0.038520 s; P95 0.079905 s; lag 0 s; violazioni 0.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11" t="str">
        <x:v>PASS</x:v>
      </x:c>
      <x:c r="L27" s="11" t="str">
        <x:v>log-20260623-011651-MaGaLiteratureBasedUrbanStudy</x:v>
      </x:c>
      <x:c r="M27" s="11" t="str">
        <x:v>LITERATURE_SMOKE_TEST_PASSED</x:v>
      </x:c>
      <x:c r="N27" s="11" t="n">
        <x:v>0</x:v>
      </x:c>
      <x:c r="O27" s="11" t="str">
        <x:v>PASS; task 9306; pending 56; GA 564/564/561; stale 3 (0.531915%); runtime medio 0.060684 s; P95 0.142774 s; lag 0 s; violazioni 0.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11" t="str">
        <x:v>PASS</x:v>
      </x:c>
      <x:c r="L28" s="11" t="str">
        <x:v>log-20260623-011808-MaGaLiteratureBasedUrbanStudy</x:v>
      </x:c>
      <x:c r="M28" s="11" t="str">
        <x:v>LITERATURE_SMOKE_TEST_PASSED</x:v>
      </x:c>
      <x:c r="N28" s="11" t="n">
        <x:v>0</x:v>
      </x:c>
      <x:c r="O28" s="11" t="str">
        <x:v>PASS; task 9429; pending 43; GA 556/556/555; stale 1 (0.179856%); runtime medio 0.061293 s; P95 0.131178 s; lag 0 s; violazioni 0.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11" t="str">
        <x:v>PASS</x:v>
      </x:c>
      <x:c r="L29" s="11" t="str">
        <x:v>log-20260623-011924-MaGaLiteratureBasedUrbanStudy</x:v>
      </x:c>
      <x:c r="M29" s="11" t="str">
        <x:v>LITERATURE_SMOKE_TEST_PASSED</x:v>
      </x:c>
      <x:c r="N29" s="11" t="n">
        <x:v>0</x:v>
      </x:c>
      <x:c r="O29" s="11" t="str">
        <x:v>PASS; task 9322; pending 56; GA 593/593/592; stale 1 (0.168634%); runtime medio 0.053767 s; P95 0.122946 s; lag 0 s; violazioni 0.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11" t="str">
        <x:v>PASS</x:v>
      </x:c>
      <x:c r="L30" s="11" t="str">
        <x:v>log-20260623-012041-MaGaLiteratureBasedUrbanStudy</x:v>
      </x:c>
      <x:c r="M30" s="11" t="str">
        <x:v>LITERATURE_SMOKE_TEST_PASSED</x:v>
      </x:c>
      <x:c r="N30" s="11" t="n">
        <x:v>0</x:v>
      </x:c>
      <x:c r="O30" s="11" t="str">
        <x:v>PASS; task 9413; pending 57; GA 642/642/642; stale 0 (0.000000%); runtime medio 0.051743 s; P95 0.120134 s; lag 0 s; violazioni 0.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11" t="str">
        <x:v>PASS</x:v>
      </x:c>
      <x:c r="L31" s="11" t="str">
        <x:v>log-20260623-012157-MaGaLiteratureBasedUrbanStudy</x:v>
      </x:c>
      <x:c r="M31" s="11" t="str">
        <x:v>LITERATURE_SMOKE_TEST_PASSED</x:v>
      </x:c>
      <x:c r="N31" s="11" t="n">
        <x:v>0</x:v>
      </x:c>
      <x:c r="O31" s="11" t="str">
        <x:v>PASS; task 9005; pending 44; GA 581/581/579; stale 2 (0.344234%); runtime medio 0.057178 s; P95 0.122062 s; lag 0 s; violazioni 0.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11" t="str">
        <x:v>PASS</x:v>
      </x:c>
      <x:c r="L32" s="11" t="str">
        <x:v>log-20260623-013354-MaGaLiteratureBasedUrbanStudy</x:v>
      </x:c>
      <x:c r="M32" s="11" t="str">
        <x:v>LITERATURE_SMOKE_TEST_PASSED</x:v>
      </x:c>
      <x:c r="N32" s="11" t="n">
        <x:v>0</x:v>
      </x:c>
      <x:c r="O32" s="11" t="str">
        <x:v>PASS; task 9306; pending 65; GA 552/552/548; stale 4 (0.724638%); runtime medio 0.067955 s; P95 0.157013 s; lag 0 s; violazioni 0.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11" t="str">
        <x:v>PASS</x:v>
      </x:c>
      <x:c r="L33" s="11" t="str">
        <x:v>log-20260623-013510-MaGaLiteratureBasedUrbanStudy</x:v>
      </x:c>
      <x:c r="M33" s="11" t="str">
        <x:v>LITERATURE_SMOKE_TEST_PASSED</x:v>
      </x:c>
      <x:c r="N33" s="11" t="n">
        <x:v>0</x:v>
      </x:c>
      <x:c r="O33" s="11" t="str">
        <x:v>PASS; task 9429; pending 52; GA 539/539/536; stale 3 (0.556586%); runtime medio 0.066855 s; P95 0.142569 s; lag 0 s; violazioni 0.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11" t="str">
        <x:v>PASS</x:v>
      </x:c>
      <x:c r="L34" s="11" t="str">
        <x:v>log-20260623-013627-MaGaLiteratureBasedUrbanStudy</x:v>
      </x:c>
      <x:c r="M34" s="11" t="str">
        <x:v>LITERATURE_SMOKE_TEST_PASSED</x:v>
      </x:c>
      <x:c r="N34" s="11" t="n">
        <x:v>0</x:v>
      </x:c>
      <x:c r="O34" s="11" t="str">
        <x:v>PASS; task 9322; pending 64; GA 544/544/542; stale 2 (0.367647%); runtime medio 0.064784 s; P95 0.144178 s; lag 0 s; violazioni 0.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11" t="str">
        <x:v>PASS</x:v>
      </x:c>
      <x:c r="L35" s="11" t="str">
        <x:v>log-20260623-013743-MaGaLiteratureBasedUrbanStudy</x:v>
      </x:c>
      <x:c r="M35" s="11" t="str">
        <x:v>LITERATURE_SMOKE_TEST_PASSED</x:v>
      </x:c>
      <x:c r="N35" s="11" t="n">
        <x:v>0</x:v>
      </x:c>
      <x:c r="O35" s="11" t="str">
        <x:v>PASS; task 9413; pending 69; GA 592/592/592; stale 0 (0.000000%); runtime medio 0.061698 s; P95 0.142087 s; lag 0 s; violazioni 0.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11" t="str">
        <x:v>PASS</x:v>
      </x:c>
      <x:c r="L36" s="11" t="str">
        <x:v>log-20260623-013859-MaGaLiteratureBasedUrbanStudy</x:v>
      </x:c>
      <x:c r="M36" s="11" t="str">
        <x:v>LITERATURE_SMOKE_TEST_PASSED</x:v>
      </x:c>
      <x:c r="N36" s="11" t="n">
        <x:v>0</x:v>
      </x:c>
      <x:c r="O36" s="11" t="str">
        <x:v>PASS; task 9005; pending 55; GA 529/529/527; stale 2 (0.378072%); runtime medio 0.066523 s; P95 0.144414 s; lag 0 s; violazioni 0.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11" t="str">
        <x:v>PASS</x:v>
      </x:c>
      <x:c r="L37" s="11" t="str">
        <x:v>log-20260623-014138-MaGaLiteratureBasedUrbanStudy</x:v>
      </x:c>
      <x:c r="M37" s="11" t="str">
        <x:v>LITERATURE_SMOKE_TEST_PASSED</x:v>
      </x:c>
      <x:c r="N37" s="11" t="n">
        <x:v>0</x:v>
      </x:c>
      <x:c r="O37" s="11" t="str">
        <x:v>PASS; task 9306; pending 101; GA 450/450/399; stale 51 (11.333333%); runtime medio 0.098053 s; P95 0.263864 s; lag 0 s; violazioni 0. Stale elevato osservato sotto carico; run tecnicamente valida.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11" t="str">
        <x:v>PASS</x:v>
      </x:c>
      <x:c r="L38" s="11" t="str">
        <x:v>log-20260623-014310-MaGaLiteratureBasedUrbanStudy</x:v>
      </x:c>
      <x:c r="M38" s="11" t="str">
        <x:v>LITERATURE_SMOKE_TEST_PASSED</x:v>
      </x:c>
      <x:c r="N38" s="11" t="n">
        <x:v>0</x:v>
      </x:c>
      <x:c r="O38" s="11" t="str">
        <x:v>PASS; task 9429; pending 96; GA 432/432/376; stale 56 (12.962963%); runtime medio 0.102481 s; P95 0.270751 s; lag 0 s; violazioni 0. Stale elevato osservato sotto carico; run tecnicamente valida.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11" t="str">
        <x:v>PASS</x:v>
      </x:c>
      <x:c r="L39" s="11" t="str">
        <x:v>log-20260623-014441-MaGaLiteratureBasedUrbanStudy</x:v>
      </x:c>
      <x:c r="M39" s="11" t="str">
        <x:v>LITERATURE_SMOKE_TEST_PASSED</x:v>
      </x:c>
      <x:c r="N39" s="11" t="n">
        <x:v>0</x:v>
      </x:c>
      <x:c r="O39" s="11" t="str">
        <x:v>PASS; task 9322; pending 110; GA 438/438/370; stale 68 (15.525114%); runtime medio 0.106538 s; P95 0.305618 s; lag 0 s; violazioni 0. Stale elevato osservato sotto carico; run tecnicamente valida.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11" t="str">
        <x:v>PASS</x:v>
      </x:c>
      <x:c r="L40" s="11" t="str">
        <x:v>log-20260623-014612-MaGaLiteratureBasedUrbanStudy</x:v>
      </x:c>
      <x:c r="M40" s="11" t="str">
        <x:v>LITERATURE_SMOKE_TEST_PASSED</x:v>
      </x:c>
      <x:c r="N40" s="11" t="n">
        <x:v>0</x:v>
      </x:c>
      <x:c r="O40" s="11" t="str">
        <x:v>PASS; task 9413; pending 114; GA 422/422/378; stale 44 (10.426540%); runtime medio 0.098336 s; P95 0.297527 s; lag 0 s; violazioni 0. Stale elevato osservato sotto carico; run tecnicamente valida.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11" t="str">
        <x:v>PASS</x:v>
      </x:c>
      <x:c r="L41" s="11" t="str">
        <x:v>log-20260623-014728-MaGaLiteratureBasedUrbanStudy</x:v>
      </x:c>
      <x:c r="M41" s="11" t="str">
        <x:v>LITERATURE_SMOKE_TEST_PASSED</x:v>
      </x:c>
      <x:c r="N41" s="11" t="n">
        <x:v>0</x:v>
      </x:c>
      <x:c r="O41" s="11" t="str">
        <x:v>PASS; task 9005; pending 93; GA 435/435/394; stale 41 (9.425287%); runtime medio 0.099668 s; P95 0.263782 s; lag 0 s; violazioni 0.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11" t="str">
        <x:v>PASS</x:v>
      </x:c>
      <x:c r="L42" s="11" t="str">
        <x:v>log-20260623-015048-MaGaLiteratureBasedUrbanStudy</x:v>
      </x:c>
      <x:c r="M42" s="11" t="str">
        <x:v>LITERATURE_SMOKE_TEST_PASSED</x:v>
      </x:c>
      <x:c r="N42" s="11" t="n">
        <x:v>0</x:v>
      </x:c>
      <x:c r="O42" s="11" t="str">
        <x:v>PASS; task 15117; pending 99; GA 512/512/482; stale 30 (5.859375%); runtime medio 0.072082 s; P95 0.209128 s; lag 0 s; violazioni 0.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11" t="str">
        <x:v>PASS</x:v>
      </x:c>
      <x:c r="L43" s="11" t="str">
        <x:v>log-20260623-015149-MaGaLiteratureBasedUrbanStudy</x:v>
      </x:c>
      <x:c r="M43" s="11" t="str">
        <x:v>LITERATURE_SMOKE_TEST_PASSED</x:v>
      </x:c>
      <x:c r="N43" s="11" t="n">
        <x:v>0</x:v>
      </x:c>
      <x:c r="O43" s="11" t="str">
        <x:v>PASS; task 15387; pending 89; GA 430/430/407; stale 23 (5.348837%); runtime medio 0.085657 s; P95 0.209423 s; lag 0 s; violazioni 0.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11" t="str">
        <x:v>PASS</x:v>
      </x:c>
      <x:c r="L44" s="11" t="str">
        <x:v>log-20260623-015250-MaGaLiteratureBasedUrbanStudy</x:v>
      </x:c>
      <x:c r="M44" s="11" t="str">
        <x:v>LITERATURE_SMOKE_TEST_PASSED</x:v>
      </x:c>
      <x:c r="N44" s="11" t="n">
        <x:v>0</x:v>
      </x:c>
      <x:c r="O44" s="11" t="str">
        <x:v>PASS; task 15722; pending 79; GA 522/522/483; stale 39 (7.471264%); runtime medio 0.072350 s; P95 0.222527 s; lag 0 s; violazioni 0.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11" t="str">
        <x:v>PASS</x:v>
      </x:c>
      <x:c r="L45" s="11" t="str">
        <x:v>log-20260623-015350-MaGaLiteratureBasedUrbanStudy</x:v>
      </x:c>
      <x:c r="M45" s="11" t="str">
        <x:v>LITERATURE_SMOKE_TEST_PASSED</x:v>
      </x:c>
      <x:c r="N45" s="11" t="n">
        <x:v>0</x:v>
      </x:c>
      <x:c r="O45" s="11" t="str">
        <x:v>PASS; task 15011; pending 86; GA 441/441/410; stale 31 (7.029478%); runtime medio 0.080525 s; P95 0.220751 s; lag 0 s; violazioni 0.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11" t="str">
        <x:v>PASS</x:v>
      </x:c>
      <x:c r="L46" s="11" t="str">
        <x:v>log-20260623-015451-MaGaLiteratureBasedUrbanStudy</x:v>
      </x:c>
      <x:c r="M46" s="11" t="str">
        <x:v>LITERATURE_SMOKE_TEST_PASSED</x:v>
      </x:c>
      <x:c r="N46" s="11" t="n">
        <x:v>0</x:v>
      </x:c>
      <x:c r="O46" s="11" t="str">
        <x:v>PASS; task 15273; pending 82; GA 513/513/484; stale 29 (5.653021%); runtime medio 0.070807 s; P95 0.202991 s; lag 0 s; violazioni 0.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11" t="str">
        <x:v>PASS</x:v>
      </x:c>
      <x:c r="L47" s="11" t="str">
        <x:v>log-20260623-015752-MaGaLiteratureBasedUrbanStudy</x:v>
      </x:c>
      <x:c r="M47" s="11" t="str">
        <x:v>LITERATURE_SMOKE_TEST_PASSED</x:v>
      </x:c>
      <x:c r="N47" s="11" t="n">
        <x:v>0</x:v>
      </x:c>
      <x:c r="O47" s="11" t="str">
        <x:v>PASS; task 15117; pending 126; GA 476/476/435; stale 41 (8.613445%); runtime medio 0.084064 s; P95 0.279828 s; lag 0 s; violazioni 0.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11" t="str">
        <x:v>PASS</x:v>
      </x:c>
      <x:c r="L48" s="11" t="str">
        <x:v>log-20260623-015908-MaGaLiteratureBasedUrbanStudy</x:v>
      </x:c>
      <x:c r="M48" s="11" t="str">
        <x:v>LITERATURE_SMOKE_TEST_PASSED</x:v>
      </x:c>
      <x:c r="N48" s="11" t="n">
        <x:v>0</x:v>
      </x:c>
      <x:c r="O48" s="11" t="str">
        <x:v>PASS; task 15387; pending 108; GA 383/383/328; stale 55 (14.360313%); runtime medio 0.101919 s; P95 0.313455 s; lag 0 s; violazioni 0. Stale elevato osservato sotto carico; run tecnicamente valida.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11" t="str">
        <x:v>PASS</x:v>
      </x:c>
      <x:c r="L49" s="11" t="str">
        <x:v>log-20260623-020008-MaGaLiteratureBasedUrbanStudy</x:v>
      </x:c>
      <x:c r="M49" s="11" t="str">
        <x:v>LITERATURE_SMOKE_TEST_PASSED</x:v>
      </x:c>
      <x:c r="N49" s="11" t="n">
        <x:v>0</x:v>
      </x:c>
      <x:c r="O49" s="11" t="str">
        <x:v>PASS; task 15722; pending 98; GA 421/421/366; stale 55 (13.064133%); runtime medio 0.094561 s; P95 0.328027 s; lag 0 s; violazioni 0. Stale elevato osservato sotto carico; run tecnicamente valida.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11" t="str">
        <x:v>PASS</x:v>
      </x:c>
      <x:c r="L50" s="11" t="str">
        <x:v>log-20260623-020124-MaGaLiteratureBasedUrbanStudy</x:v>
      </x:c>
      <x:c r="M50" s="11" t="str">
        <x:v>LITERATURE_SMOKE_TEST_PASSED</x:v>
      </x:c>
      <x:c r="N50" s="11" t="n">
        <x:v>0</x:v>
      </x:c>
      <x:c r="O50" s="11" t="str">
        <x:v>PASS; task 15011; pending 111; GA 402/402/347; stale 55 (13.681592%); runtime medio 0.101218 s; P95 0.308472 s; lag 0 s; violazioni 0. Stale elevato osservato sotto carico; run tecnicamente valida.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11" t="str">
        <x:v>PASS</x:v>
      </x:c>
      <x:c r="L51" s="11" t="str">
        <x:v>log-20260623-020239-MaGaLiteratureBasedUrbanStudy</x:v>
      </x:c>
      <x:c r="M51" s="11" t="str">
        <x:v>LITERATURE_SMOKE_TEST_PASSED</x:v>
      </x:c>
      <x:c r="N51" s="11" t="n">
        <x:v>0</x:v>
      </x:c>
      <x:c r="O51" s="11" t="str">
        <x:v>PASS; task 15273; pending 102; GA 419/419/358; stale 61 (14.558473%); runtime medio 0.095727 s; P95 0.306072 s; lag 0 s; violazioni 0. Stale elevato osservato sotto carico; run tecnicamente valida.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11" t="str">
        <x:v>PASS</x:v>
      </x:c>
      <x:c r="L52" s="11" t="str">
        <x:v>log-20260623-020452-MaGaLiteratureBasedUrbanStudy</x:v>
      </x:c>
      <x:c r="M52" s="11" t="str">
        <x:v>LITERATURE_SMOKE_TEST_PASSED</x:v>
      </x:c>
      <x:c r="N52" s="11" t="n">
        <x:v>0</x:v>
      </x:c>
      <x:c r="O52" s="11" t="str">
        <x:v>PASS; task 15117; pending 189; GA 336/336/256; stale 80 (23.809524%); runtime medio 0.140007 s; P95 0.490109 s; lag 0 s; violazioni 0. Stale elevato osservato sotto carico; run tecnicamente valida.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11" t="str">
        <x:v>PASS</x:v>
      </x:c>
      <x:c r="L53" s="11" t="str">
        <x:v>log-20260623-020607-MaGaLiteratureBasedUrbanStudy</x:v>
      </x:c>
      <x:c r="M53" s="11" t="str">
        <x:v>LITERATURE_SMOKE_TEST_PASSED</x:v>
      </x:c>
      <x:c r="N53" s="11" t="n">
        <x:v>0</x:v>
      </x:c>
      <x:c r="O53" s="11" t="str">
        <x:v>PASS; task 15387; pending 177; GA 320/320/243; stale 77 (24.062500%); runtime medio 0.144421 s; P95 0.473515 s; lag 0 s; violazioni 0. Stale elevato osservato sotto carico; run tecnicamente valida.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11" t="str">
        <x:v>PASS</x:v>
      </x:c>
      <x:c r="L54" s="11" t="str">
        <x:v>log-20260623-020722-MaGaLiteratureBasedUrbanStudy</x:v>
      </x:c>
      <x:c r="M54" s="11" t="str">
        <x:v>LITERATURE_SMOKE_TEST_PASSED</x:v>
      </x:c>
      <x:c r="N54" s="11" t="n">
        <x:v>0</x:v>
      </x:c>
      <x:c r="O54" s="11" t="str">
        <x:v>PASS; task 15722; pending 168; GA 337/337/263; stale 74 (21.958457%); runtime medio 0.139321 s; P95 0.507576 s; lag 0 s; violazioni 0. Stale elevato osservato sotto carico; run tecnicamente valida.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11" t="str">
        <x:v>PASS</x:v>
      </x:c>
      <x:c r="L55" s="11" t="str">
        <x:v>log-20260623-020838-MaGaLiteratureBasedUrbanStudy</x:v>
      </x:c>
      <x:c r="M55" s="11" t="str">
        <x:v>LITERATURE_SMOKE_TEST_PASSED</x:v>
      </x:c>
      <x:c r="N55" s="11" t="n">
        <x:v>0</x:v>
      </x:c>
      <x:c r="O55" s="11" t="str">
        <x:v>PASS; task 15011; pending 181; GA 342/342/264; stale 78 (22.807018%); runtime medio 0.132658 s; P95 0.439953 s; lag 0 s; violazioni 0. Stale elevato osservato sotto carico; run tecnicamente valida.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11" t="str">
        <x:v>PASS</x:v>
      </x:c>
      <x:c r="L56" s="11" t="str">
        <x:v>log-20260623-020954-MaGaLiteratureBasedUrbanStudy</x:v>
      </x:c>
      <x:c r="M56" s="11" t="str">
        <x:v>LITERATURE_SMOKE_TEST_PASSED</x:v>
      </x:c>
      <x:c r="N56" s="11" t="n">
        <x:v>0</x:v>
      </x:c>
      <x:c r="O56" s="11" t="str">
        <x:v>PASS; task 15273; pending 179; GA 335/335/259; stale 76 (22.686567%); runtime medio 0.134661 s; P95 0.448889 s; lag 0 s; violazioni 0. Stale elevato osservato sotto carico; run tecnicamente valida.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11" t="str">
        <x:v>PASS</x:v>
      </x:c>
      <x:c r="L57" s="11" t="str">
        <x:v>log-20260623-180128-MaGaLiteratureBasedUrbanStudy</x:v>
      </x:c>
      <x:c r="M57" s="11" t="str">
        <x:v>LITERATURE_SMOKE_TEST_PASSED</x:v>
      </x:c>
      <x:c r="N57" s="11" t="n">
        <x:v>0</x:v>
      </x:c>
      <x:c r="O57" s="11" t="str">
        <x:v>Stabilità nominale su 600 s.</x:v>
      </x:c>
      <x:c r="P57" s="11" t="str">
        <x:v>600 s PASS; task 19272; pending 21; GA 1281/1281/1279; stale 2 (0.156128%); ultimo apply 600 s.</x:v>
      </x:c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11" t="str">
        <x:v>PASS</x:v>
      </x:c>
      <x:c r="L58" s="11" t="str">
        <x:v>log-20260623-180259-MaGaLiteratureBasedUrbanStudy</x:v>
      </x:c>
      <x:c r="M58" s="11" t="str">
        <x:v>LITERATURE_SMOKE_TEST_PASSED</x:v>
      </x:c>
      <x:c r="N58" s="11" t="n">
        <x:v>0</x:v>
      </x:c>
      <x:c r="O58" s="11" t="str">
        <x:v>Stabilità nominale su 600 s.</x:v>
      </x:c>
      <x:c r="P58" s="11" t="str">
        <x:v>600 s PASS; task 19463; pending 24; GA 1187/1187/1187; stale 0 (0.000000%); ultimo apply 600 s.</x:v>
      </x:c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11" t="str">
        <x:v>PASS</x:v>
      </x:c>
      <x:c r="L59" s="11" t="str">
        <x:v>log-20260623-180430-MaGaLiteratureBasedUrbanStudy</x:v>
      </x:c>
      <x:c r="M59" s="11" t="str">
        <x:v>LITERATURE_SMOKE_TEST_PASSED</x:v>
      </x:c>
      <x:c r="N59" s="11" t="n">
        <x:v>0</x:v>
      </x:c>
      <x:c r="O59" s="11" t="str">
        <x:v>Stabilità nominale su 600 s.</x:v>
      </x:c>
      <x:c r="P59" s="11" t="str">
        <x:v>600 s PASS; task 19250; pending 38; GA 1266/1266/1265; stale 1 (0.078989%); ultimo apply 599.9 s.</x:v>
      </x:c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11" t="str">
        <x:v>PASS</x:v>
      </x:c>
      <x:c r="L60" s="11" t="str">
        <x:v>log-20260623-180604-MaGaLiteratureBasedUrbanStudy</x:v>
      </x:c>
      <x:c r="M60" s="11" t="str">
        <x:v>LITERATURE_SMOKE_TEST_PASSED</x:v>
      </x:c>
      <x:c r="N60" s="11" t="n">
        <x:v>0</x:v>
      </x:c>
      <x:c r="O60" s="11" t="str">
        <x:v>Stabilità nominale su 600 s.</x:v>
      </x:c>
      <x:c r="P60" s="11" t="str">
        <x:v>600 s PASS; task 19391; pending 33; GA 1180/1180/1160; stale 20 (1.694915%); ultimo apply 599.9 s.</x:v>
      </x:c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11" t="str">
        <x:v>PASS</x:v>
      </x:c>
      <x:c r="L61" s="11" t="str">
        <x:v>log-20260623-180851-MaGaLiteratureBasedUrbanStudy</x:v>
      </x:c>
      <x:c r="M61" s="11" t="str">
        <x:v>LITERATURE_SMOKE_TEST_PASSED</x:v>
      </x:c>
      <x:c r="N61" s="11" t="n">
        <x:v>0</x:v>
      </x:c>
      <x:c r="O61" s="11" t="str">
        <x:v>Stabilità nominale su 600 s.</x:v>
      </x:c>
      <x:c r="P61" s="11" t="str">
        <x:v>600 s PASS; task 18961; pending 28; GA 1107/1107/1077; stale 30 (2.710027%); ultimo apply 599.9 s.</x:v>
      </x:c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278" t="str">
        <x:v>OPTIONAL_STRESS_LIMIT</x:v>
      </x:c>
      <x:c r="L62" s="278" t="str">
        <x:v>log-20260623-181139-MaGaLiteratureBasedUrbanStudy</x:v>
      </x:c>
      <x:c r="M62" s="278" t="str">
        <x:v>MOSAIC_INTERRUPTED</x:v>
      </x:c>
      <x:c r="N62" s="278" t="str">
        <x:v>N/D</x:v>
      </x:c>
      <x:c r="O62" s="278" t="str">
        <x:v>Endurance sotto stress combinato.</x:v>
      </x:c>
      <x:c r="P62" s="278" t="str">
        <x:v>Interrotta a 464,0/600 s: watchdog federati; TraCI VehicleGetTaxiFleet; SocketException host. Nessun report finale e nessun rerun.</x:v>
      </x:c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309" t="str">
        <x:v>PASS</x:v>
      </x:c>
      <x:c r="L63" s="11" t="str">
        <x:v>log-20260623-191234-MaGaLiteratureBasedUrbanStudy</x:v>
      </x:c>
      <x:c r="M63" s="11" t="str">
        <x:v>LITERATURE_SMOKE_TEST_PASSED</x:v>
      </x:c>
      <x:c r="N63" s="11" t="n">
        <x:v>0</x:v>
      </x:c>
      <x:c r="O63" s="11" t="str">
        <x:v>Fallback locale e access link unavailable.</x:v>
      </x:c>
      <x:c r="P63" s="11" t="str">
        <x:v>Run tecnica PASS; task 5901; GA 416/416/411; stale 5 (1,201923%); L/V/E/C 13894/0/0/0; lag 0; violazioni 0.</x:v>
      </x:c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309" t="str">
        <x:v>PASS</x:v>
      </x:c>
      <x:c r="L64" s="11" t="str">
        <x:v>log-20260623-191349-MaGaLiteratureBasedUrbanStudy</x:v>
      </x:c>
      <x:c r="M64" s="11" t="str">
        <x:v>LITERATURE_SMOKE_TEST_PASSED</x:v>
      </x:c>
      <x:c r="N64" s="11" t="n">
        <x:v>0</x:v>
      </x:c>
      <x:c r="O64" s="11" t="str">
        <x:v>Gateway rsu_0.</x:v>
      </x:c>
      <x:c r="P64" s="11" t="str">
        <x:v>Run tecnica PASS; task 5299; GA 370/370/369; stale 1 (0,270270%); candidati EDGE/CLOUD osservati; 0 assegnazioni remote applicate.</x:v>
      </x:c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309" t="str">
        <x:v>PASS</x:v>
      </x:c>
      <x:c r="L65" s="11" t="str">
        <x:v>log-20260623-222730-MaGaLiteratureBasedUrbanStudy</x:v>
      </x:c>
      <x:c r="M65" s="11" t="str">
        <x:v>LITERATURE_SMOKE_TEST_PASSED</x:v>
      </x:c>
      <x:c r="N65" s="11" t="n">
        <x:v>0</x:v>
      </x:c>
      <x:c r="O65" s="11" t="str">
        <x:v>Gateway rsu_1.</x:v>
      </x:c>
      <x:c r="P65" s="11" t="str">
        <x:v>Run tecnica PASS; task 2887; GA 427/427/427; stale 0; 2 assegnazioni CLOUD applicate via gateway geometrico; placeholder 0.</x:v>
      </x:c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311" t="str">
        <x:v>PASS_CON_LIMITAZIONE</x:v>
      </x:c>
      <x:c r="L66" s="11" t="str">
        <x:v>log-20260623-222831-MaGaLiteratureBasedUrbanStudy</x:v>
      </x:c>
      <x:c r="M66" s="11" t="str">
        <x:v>LITERATURE_SMOKE_TEST_PASSED</x:v>
      </x:c>
      <x:c r="N66" s="11" t="n">
        <x:v>0</x:v>
      </x:c>
      <x:c r="O66" s="11" t="str">
        <x:v>Gateway switch e handover.</x:v>
      </x:c>
      <x:c r="P66" s="11" t="str">
        <x:v>Run tecnica PASS; task 6141; GA 309/309/294; stale 15 (4,854369%); nessuna transizione gateway dimostrata: T-098 NON_OSSERVATO.</x:v>
      </x:c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311" t="str">
        <x:v>PASS_CON_LIMITAZIONE</x:v>
      </x:c>
      <x:c r="L67" s="11" t="str">
        <x:v>log-20260623-222946-MaGaLiteratureBasedUrbanStudy</x:v>
      </x:c>
      <x:c r="M67" s="11" t="str">
        <x:v>LITERATURE_SMOKE_TEST_PASSED</x:v>
      </x:c>
      <x:c r="N67" s="11" t="n">
        <x:v>0</x:v>
      </x:c>
      <x:c r="O67" s="11" t="str">
        <x:v>Candidati e decisioni V2V.</x:v>
      </x:c>
      <x:c r="P67" s="11" t="str">
        <x:v>Run tecnica PASS; task 9396; GA 193/193/100; stale 93 (48,186528%); V2V metriche finite ma 0 assegnazioni VEHICLE applicate; lag 0; violazioni 0.</x:v>
      </x:c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11" t="str">
        <x:v>PASS_WITH_REPRODUCIBLE_TEMPORAL_LIMIT</x:v>
      </x:c>
      <x:c r="L68" s="11" t="str">
        <x:v>log-20260624-120059-MaGaLiteratureBasedUrbanStudy</x:v>
      </x:c>
      <x:c r="M68" s="11" t="str">
        <x:v>LITERATURE_SMOKE_TEST_PASSED</x:v>
      </x:c>
      <x:c r="N68" s="11" t="n">
        <x:v>0</x:v>
      </x:c>
      <x:c r="O68" s="11" t="str">
        <x:v>Pressione CPU locale; recovery selettivo 2/2.</x:v>
      </x:c>
      <x:c r="P68" s="11" t="str">
        <x:v>Batch: L/V/E/C 4/2/0/0, stale 25%. Recovery A 9/23/1/2, B 10/9/3/2. Offloading remoto e lungo gap finale riprodotti.</x:v>
      </x:c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11" t="str">
        <x:v>PASS_TARGET_RESOURCE_NOT_EXERCISED</x:v>
      </x:c>
      <x:c r="L69" s="11" t="str">
        <x:v>log-20260624-120207-MaGaLiteratureBasedUrbanStudy</x:v>
      </x:c>
      <x:c r="M69" s="11" t="str">
        <x:v>LITERATURE_SMOKE_TEST_PASSED</x:v>
      </x:c>
      <x:c r="N69" s="11" t="n">
        <x:v>0</x:v>
      </x:c>
      <x:c r="O69" s="11" t="str">
        <x:v>Pressione CPU edge.</x:v>
      </x:c>
      <x:c r="P69" s="11" t="str">
        <x:v>Task 5640; GA 253/253/215; stale 15,019763%; L/V/E/C 10831/0/0/0. EDGE evitato; repair non osservato.</x:v>
      </x:c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11" t="str">
        <x:v>PASS_TARGET_RESOURCE_NOT_EXERCISED</x:v>
      </x:c>
      <x:c r="L70" s="11" t="str">
        <x:v>log-20260624-120315-MaGaLiteratureBasedUrbanStudy</x:v>
      </x:c>
      <x:c r="M70" s="11" t="str">
        <x:v>LITERATURE_SMOKE_TEST_PASSED</x:v>
      </x:c>
      <x:c r="N70" s="11" t="n">
        <x:v>0</x:v>
      </x:c>
      <x:c r="O70" s="11" t="str">
        <x:v>Pressione CPU cloud.</x:v>
      </x:c>
      <x:c r="P70" s="11" t="str">
        <x:v>Task 5640; GA 235/235/184; stale 21,702128%; L/V/E/C 8142/0/0/0. CLOUD evitato; repair non osservato.</x:v>
      </x:c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11" t="str">
        <x:v>PASS_TARGET_LINK_NOT_EXERCISED</x:v>
      </x:c>
      <x:c r="L71" s="11" t="str">
        <x:v>log-20260624-120421-MaGaLiteratureBasedUrbanStudy</x:v>
      </x:c>
      <x:c r="M71" s="11" t="str">
        <x:v>LITERATURE_SMOKE_TEST_PASSED</x:v>
      </x:c>
      <x:c r="N71" s="11" t="n">
        <x:v>0</x:v>
      </x:c>
      <x:c r="O71" s="11" t="str">
        <x:v>Pressione banda CELL.</x:v>
      </x:c>
      <x:c r="P71" s="11" t="str">
        <x:v>Task 5640; GA 246/246/201; stale 18,292683%; L/V/E/C 9408/0/0/0. Link CELL non esercitato.</x:v>
      </x:c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11" t="str">
        <x:v>PASS_WITH_STRESS_LIMIT_TARGET_NOT_EXERCISED</x:v>
      </x:c>
      <x:c r="L72" s="11" t="str">
        <x:v>log-20260624-120633-MaGaLiteratureBasedUrbanStudy</x:v>
      </x:c>
      <x:c r="M72" s="11" t="str">
        <x:v>LITERATURE_SMOKE_TEST_PASSED</x:v>
      </x:c>
      <x:c r="N72" s="11" t="n">
        <x:v>0</x:v>
      </x:c>
      <x:c r="O72" s="11" t="str">
        <x:v>Pressione banda V2V in high_density.</x:v>
      </x:c>
      <x:c r="P72" s="11" t="str">
        <x:v>Task 9396; GA 141/141/75; stale 46,808511%; L/V/E/C 2291/0/0/0. Limite stress, V2V non esercitato.</x:v>
      </x:c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11" t="str">
        <x:v>PASS_STABLE_TARGET_LINK_NOT_EXERCISED</x:v>
      </x:c>
      <x:c r="L73" s="11" t="str">
        <x:v>log-20260624-120526-MaGaLiteratureBasedUrbanStudy</x:v>
      </x:c>
      <x:c r="M73" s="11" t="str">
        <x:v>LITERATURE_SMOKE_TEST_PASSED</x:v>
      </x:c>
      <x:c r="N73" s="11" t="n">
        <x:v>0</x:v>
      </x:c>
      <x:c r="O73" s="11" t="str">
        <x:v>Latenza base elevata.</x:v>
      </x:c>
      <x:c r="P73" s="11" t="str">
        <x:v>Task 5640; GA 326/326/325; stale 0,306748%; L/V/E/C 10389/1/0/0. RTT CELL non esercitato.</x:v>
      </x:c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11" t="str">
        <x:v>SKIPPED_NOT_REQUIRED_FOR_MANDATORY_G06</x:v>
      </x:c>
      <x:c r="L74" s="11"/>
      <x:c r="M74" s="11"/>
      <x:c r="N74" s="11"/>
      <x:c r="O74" s="11" t="str">
        <x:v>Finestre sparse.</x:v>
      </x:c>
      <x:c r="P74" s="11" t="str">
        <x:v>Esposizione e materializzazione presenti; corpus cross-run sufficiente per i test obbligatori.</x:v>
      </x:c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11" t="str">
        <x:v>DEFERRED_OPTIONAL_NOT_REQUIRED_FOR_CANONICAL_G06</x:v>
      </x:c>
      <x:c r="L75" s="11"/>
      <x:c r="M75" s="11"/>
      <x:c r="N75" s="11"/>
      <x:c r="O75" s="11" t="str">
        <x:v>Scaling ADAPTIVE separato.</x:v>
      </x:c>
      <x:c r="P75" s="11" t="str">
        <x:v>T-121 opzionale; configurazione non canonica e esposizione da rivedere solo se utile dopo la campagna principale.</x:v>
      </x:c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11" t="str">
        <x:v>PASS_WITH_EXPECTED_CANONICAL_VALIDATOR_REJECTION</x:v>
      </x:c>
      <x:c r="L76" s="11" t="str">
        <x:v>log-20260624-173047-MaGaLiteratureBasedUrbanStudy</x:v>
      </x:c>
      <x:c r="M76" s="11" t="str">
        <x:v>LITERATURE_SMOKE_TEST_FAILED_EXPECTED</x:v>
      </x:c>
      <x:c r="N76" s="11" t="n">
        <x:v>1</x:v>
      </x:c>
      <x:c r="O76" s="11" t="str">
        <x:v>Stale controllato con ritardo artificiale.</x:v>
      </x:c>
      <x:c r="P76" s="11" t="str">
        <x:v>33 job submitted/completed; 33 STALE_DISCARDED; 0 applicati; stale 100%; lag 0; violazioni 0; unico errore validator strategyApplications &lt;= 0.</x:v>
      </x:c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G04-R-01</x:v>
      </x:c>
      <x:c r="B77" s="11" t="str">
        <x:v>CFG-G04-R-HANDOVER</x:v>
      </x:c>
      <x:c r="C77" s="11" t="str">
        <x:v>MOB-RECOVERY</x:v>
      </x:c>
      <x:c r="D77" s="11" t="str">
        <x:v>low_density</x:v>
      </x:c>
      <x:c r="E77" s="11" t="str">
        <x:v>180 s</x:v>
      </x:c>
      <x:c r="F77" s="11" t="n">
        <x:v>104729</x:v>
      </x:c>
      <x:c r="G77" s="11" t="n">
        <x:v>1</x:v>
      </x:c>
      <x:c r="H77" s="11" t="str">
        <x:v>CFG-G04-R-HANDOVER-104729</x:v>
      </x:c>
      <x:c r="I77" s="11" t="str">
        <x:v>Materialize+Deploy+Run</x:v>
      </x:c>
      <x:c r="J77" s="11" t="str">
        <x:v>Sì</x:v>
      </x:c>
      <x:c r="K77" s="11" t="str">
        <x:v>PASS_WITH_EXPECTED_STATIC_WORKLOAD_VALIDATOR_REJECTION</x:v>
      </x:c>
      <x:c r="L77" s="11" t="str">
        <x:v>log-20260624-233717-MaGaLiteratureBasedUrbanStudy</x:v>
      </x:c>
      <x:c r="M77" s="11" t="str">
        <x:v>LITERATURE_SMOKE_TEST_FAILED_EXPECTED</x:v>
      </x:c>
      <x:c r="N77" s="11" t="n">
        <x:v>1</x:v>
      </x:c>
      <x:c r="O77" s="11" t="str">
        <x:v>Recuperare T-096 e T-098 con transizione controllata.</x:v>
      </x:c>
      <x:c r="P77" s="11" t="str">
        <x:v>1 run mirata valida; 19 task statici; 760/760/754 job; 6 stale; 123 CLOUD; transizione rsu_0→rsu_1 a 81,8 s. Primo tentativo escluso per mismatch synthetic_005/veh_2.</x:v>
      </x:c>
      <x:c r="Q77" s="11"/>
      <x:c r="R77" s="11"/>
      <x:c r="S77" s="11"/>
      <x:c r="T77" s="11"/>
      <x:c r="U77" s="11" t="str">
        <x:v>PASS</x:v>
      </x:c>
      <x:c r="V77" s="11" t="str">
        <x:v>Nessuna modifica Java; validator canonico non modificato.</x:v>
      </x:c>
      <x:c r="W77" s="11" t="str">
        <x:v>T-096 PASS; T-098 PASS; T-091 parziale; T-094 non osservato.</x:v>
      </x:c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2274e088944f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16" hidden="0" customWidth="1"/>
    <x:col min="11" max="11" width="52" hidden="0" customWidth="1"/>
  </x:cols>
  <x:sheetData>
    <x:row r="1" ht="28" customHeight="1">
      <x:c r="A1" s="60" t="str">
        <x:v>Catalogo completo dei test — aggiornato dopo G04-R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221" t="str">
        <x:v>Evidenza / decisione al termine G03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11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11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275" t="str">
        <x:v>PASS</x:v>
      </x:c>
      <x:c r="K6" s="275" t="str">
        <x:v>CFG-REPRO A/B validate senza token residui.</x:v>
      </x:c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11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11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223" t="str">
        <x:v>PASS</x:v>
      </x:c>
      <x:c r="K9" s="223" t="str">
        <x:v>Tre densità × tre workload × cinque seed completati; manifest e risultati coerenti.</x:v>
      </x:c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275" t="str">
        <x:v>PASS</x:v>
      </x:c>
      <x:c r="K10" s="275" t="str">
        <x:v>Raw differente per metadati attesi; confronto normalizzato LOGICALLY_IDENTICAL, differenze logiche 0.</x:v>
      </x:c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11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11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11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278" t="str">
        <x:v>PASS_CON_LIMITE_STRESS</x:v>
      </x:c>
      <x:c r="K14" s="278" t="str">
        <x:v>5/5 run nominal extended PASS e ripetizione domanda 195 s verificata; H-S-EXT opzionale interrotta a 464 s e registrata come limite.</x:v>
      </x:c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11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11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11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224" t="str">
        <x:v>EVIDENZA_PARZIALE</x:v>
      </x:c>
      <x:c r="K18" s="224" t="str">
        <x:v>Generated=Activated e contatori finali coerenti; il trace completo degli stati non è stato auditato riga per riga.</x:v>
      </x:c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11" t="str">
        <x:v>EVIDENZA_PARZIALE</x:v>
      </x:c>
      <x:c r="K19" s="11" t="str">
        <x:v>Stesso seed e stesso scenario: contatori workload/snapshot identici in 3/3 run; non eseguito hash event-by-event.</x:v>
      </x:c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11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11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11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223" t="str">
        <x:v>PASS</x:v>
      </x:c>
      <x:c r="K23" s="223" t="str">
        <x:v>futurePoolViolations=0 in 45/45 run.</x:v>
      </x:c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11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11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11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11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11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11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223" t="str">
        <x:v>PASS</x:v>
      </x:c>
      <x:c r="K30" s="223" t="str">
        <x:v>Snapshot live risolti e report strutturalmente validi in 45/45 run.</x:v>
      </x:c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223" t="str">
        <x:v>PASS</x:v>
      </x:c>
      <x:c r="K31" s="223" t="str">
        <x:v>maximumAbsoluteSnapshotLagSeconds=0 in 45/45 run.</x:v>
      </x:c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223" t="str">
        <x:v>PASS</x:v>
      </x:c>
      <x:c r="K32" s="223" t="str">
        <x:v>futureSnapshotViolations=0 in 45/45 run.</x:v>
      </x:c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223" t="str">
        <x:v>PASS</x:v>
      </x:c>
      <x:c r="K33" s="223" t="str">
        <x:v>futurePoolViolations=0 in 45/45 run.</x:v>
      </x:c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223" t="str">
        <x:v>PASS</x:v>
      </x:c>
      <x:c r="K34" s="223" t="str">
        <x:v>invalidPoolBandwidthViolations=0 in 45/45 run.</x:v>
      </x:c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223" t="str">
        <x:v>PASS</x:v>
      </x:c>
      <x:c r="K35" s="223" t="str">
        <x:v>parallelGaViolations=0 in 45/45 run.</x:v>
      </x:c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223" t="str">
        <x:v>PASS</x:v>
      </x:c>
      <x:c r="K36" s="223" t="str">
        <x:v>submitted=completed e applied+stale=completed per tutte le run.</x:v>
      </x:c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224" t="str">
        <x:v>EVIDENZA_PARZIALE</x:v>
      </x:c>
      <x:c r="K37" s="224" t="str">
        <x:v>Stale osservato e scartato correttamente; il test controllato CFG-G-STALE non è stato ancora eseguito.</x:v>
      </x:c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11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11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223" t="str">
        <x:v>PASS</x:v>
      </x:c>
      <x:c r="K40" s="223" t="str">
        <x:v>Lag massimo 0 s e nessuna finestra con stato futuro.</x:v>
      </x:c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223" t="str">
        <x:v>PASS</x:v>
      </x:c>
      <x:c r="K41" s="223" t="str">
        <x:v>Le assegnazioni aggregate coincidono con la somma delle appliedWindowSummaries in 45/45 run.</x:v>
      </x:c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11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11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11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11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11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224" t="str">
        <x:v>EVIDENZA_PARZIALE</x:v>
      </x:c>
      <x:c r="K47" s="224" t="str">
        <x:v>Assegnazioni LOCAL presenti; non è stato auditato esplicitamente il vincolo p=0 per ogni record.</x:v>
      </x:c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11" t="str">
        <x:v>PASS</x:v>
      </x:c>
      <x:c r="K48" s="11" t="str">
        <x:v>42 decisioni remote R-LOCALCPU con 0&lt;p&lt;1; partial offloading osservato nelle strategie applicate.</x:v>
      </x:c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11" t="str">
        <x:v>NON_OSSERVATO</x:v>
      </x:c>
      <x:c r="K49" s="11" t="str">
        <x:v>Nessuna decisione remota con p=1 nelle 42 evidenze R-LOCALCPU; assenza ammessa dall’oracolo soft.</x:v>
      </x:c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11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11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11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11" t="str">
        <x:v>EVIDENZA_PARZIALE</x:v>
      </x:c>
      <x:c r="K53" s="11" t="str">
        <x:v>Violazioni finali 0, ma EDGE/CLOUD degradati non vengono selezionati; repair CPU non esposto direttamente.</x:v>
      </x:c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11" t="str">
        <x:v>EVIDENZA_PARZIALE</x:v>
      </x:c>
      <x:c r="K54" s="11" t="str">
        <x:v>Violazioni finali 0, ma CELL/V2V degradati non vengono esercitati da assegnazioni remote applicate.</x:v>
      </x:c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11" t="str">
        <x:v>EVIDENZA_PARZIALE</x:v>
      </x:c>
      <x:c r="K55" s="11" t="str">
        <x:v>Pool senza violazioni finali; saturazione e correzione non risultano osservabili nei trace G05.</x:v>
      </x:c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11" t="str">
        <x:v>NON_DISPONIBILE</x:v>
      </x:c>
      <x:c r="K56" s="11" t="str">
        <x:v>Nessun contatore causale strutturato di fallback/repair nei trace G05; non inferire il fallback dall’esito LOCAL.</x:v>
      </x:c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11" t="str">
        <x:v>EVIDENZA_PARZIALE</x:v>
      </x:c>
      <x:c r="K57" s="11" t="str">
        <x:v>R-LOCALCPU mostra 2 geni applicati con deadline non rispettata e constraintPenalty&gt;0; causa best-effort non esposta.</x:v>
      </x:c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11" t="str">
        <x:v>EVIDENZA_PARZIALE</x:v>
      </x:c>
      <x:c r="K58" s="11" t="str">
        <x:v>Validator e trace validi; motivi di prefilter non aggregati in un inventario completo G05.</x:v>
      </x:c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11" t="str">
        <x:v>EVIDENZA_PARZIALE</x:v>
      </x:c>
      <x:c r="K59" s="11" t="str">
        <x:v>Constraint penalty positiva osservata in R-LOCALCPU; breakdown risorsa non sufficiente a dimostrare repair.</x:v>
      </x:c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11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223" t="str">
        <x:v>PASS</x:v>
      </x:c>
      <x:c r="K61" s="223" t="str">
        <x:v>Coperti almeno una volta LOCAL, VEHICLE, EDGE e CLOUD nell'aggregato G02.</x:v>
      </x:c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11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309" t="str">
        <x:v>PASS</x:v>
      </x:c>
      <x:c r="K63" s="11" t="str">
        <x:v>14.233 geni LOCAL_CONVENTIONAL: componenti mobility e Pmob pari a 0; run M-BACKGROUND-01 tecnica PASS.</x:v>
      </x:c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EDGE applicato</x:v>
      </x:c>
      <x:c r="E64" s="11" t="str">
        <x:v>Strategie applicate</x:v>
      </x:c>
      <x:c r="F64" s="11" t="str">
        <x:v>G04; G05; G04-R</x:v>
      </x:c>
      <x:c r="G64" s="11" t="str">
        <x:v>Sì</x:v>
      </x:c>
      <x:c r="H64" s="11" t="str">
        <x:v>nodeType=EDGE</x:v>
      </x:c>
      <x:c r="I64" s="11" t="str">
        <x:v>Almeno un gene EDGE applicato.</x:v>
      </x:c>
      <x:c r="J64" s="313" t="str">
        <x:v>EVIDENZA_PARZIALE</x:v>
      </x:c>
      <x:c r="K64" s="11" t="str">
        <x:v>G04-R applica 123 geni CLOUD ma 0 EDGE; restano valide le evidenze EDGE delle recovery G05, insufficienti per un PASS pieno del test mirato.</x:v>
      </x:c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311" t="str">
        <x:v>PASS_CON_LIMITAZIONE</x:v>
      </x:c>
      <x:c r="K65" s="11" t="str">
        <x:v>Due geni CLOUD_GATEWAY_GEOMETRIC applicati in M-RSU1-01; gateway switch non osservato.</x:v>
      </x:c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CFG-M-V2V; CFG-R-LOCALCPU; CFG-R-RTT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311" t="str">
        <x:v>PASS_RECOVERED</x:v>
      </x:c>
      <x:c r="K66" s="11" t="str">
        <x:v>Decisioni VEHICLE applicate in R-LOCALCPU e R-RTT con V2V_SCALAR_RELATIVE_SPEED.</x:v>
      </x:c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coverageSufficient=false</x:v>
      </x:c>
      <x:c r="E67" s="11" t="str">
        <x:v>Strategie applicate</x:v>
      </x:c>
      <x:c r="F67" s="11" t="str">
        <x:v>G04; G05; G04-R</x:v>
      </x:c>
      <x:c r="G67" s="11" t="str">
        <x:v>Sì</x:v>
      </x:c>
      <x:c r="H67" s="11" t="str">
        <x:v>coverageSufficient</x:v>
      </x:c>
      <x:c r="I67" s="11" t="str">
        <x:v>Almeno un gene applicato con copertura insufficiente.</x:v>
      </x:c>
      <x:c r="J67" s="315" t="str">
        <x:v>NON_OSSERVATO</x:v>
      </x:c>
      <x:c r="K67" s="11" t="str">
        <x:v>G04-R: 0 geni applicati con coverageSufficient=false; il comportamento non viene forzato e non è interpretato come FAIL.</x:v>
      </x:c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311" t="str">
        <x:v>PASS_CON_LIMITAZIONE</x:v>
      </x:c>
      <x:c r="K68" s="11" t="str">
        <x:v>phiLink remoto finito e coerente con distanza/raggio nei geni osservati; copertura dei casi limitata.</x:v>
      </x:c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/ transizione RSU</x:v>
      </x:c>
      <x:c r="D69" s="11" t="str">
        <x:v>rsu_0 -&gt; rsu_1</x:v>
      </x:c>
      <x:c r="E69" s="11" t="str">
        <x:v>Diretto</x:v>
      </x:c>
      <x:c r="F69" s="11" t="str">
        <x:v>CFG-G04-R-HANDOVER</x:v>
      </x:c>
      <x:c r="G69" s="11" t="str">
        <x:v>Sì</x:v>
      </x:c>
      <x:c r="H69" s="11" t="str">
        <x:v>probe timeline</x:v>
      </x:c>
      <x:c r="I69" s="11" t="str">
        <x:v>Transizione runtime dimostrata.</x:v>
      </x:c>
      <x:c r="J69" s="313" t="str">
        <x:v>PASS</x:v>
      </x:c>
      <x:c r="K69" s="11" t="str">
        <x:v>Probe veh_2 osservato su 1.548 snapshot; transizione rsu_0→rsu_1 rilevata tra 81,7 e 81,8 s.</x:v>
      </x:c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311" t="str">
        <x:v>PASS_CON_LIMITAZIONE</x:v>
      </x:c>
      <x:c r="K70" s="11" t="str">
        <x:v>Pmob coincide con 1·phiCov + 0,5·phiLink + 0,5·phiHo nei geni remoti osservati.</x:v>
      </x:c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 con offloading remoto</x:v>
      </x:c>
      <x:c r="D71" s="11" t="str">
        <x:v>Decisione remota prima/durante/dopo switch</x:v>
      </x:c>
      <x:c r="E71" s="11" t="str">
        <x:v>Diretto</x:v>
      </x:c>
      <x:c r="F71" s="11" t="str">
        <x:v>CFG-G04-R-HANDOVER</x:v>
      </x:c>
      <x:c r="G71" s="11" t="str">
        <x:v>Sì</x:v>
      </x:c>
      <x:c r="H71" s="11" t="str">
        <x:v>probe genes + timeline</x:v>
      </x:c>
      <x:c r="I71" s="11" t="str">
        <x:v>Task remoto e strategia applicata correlati al cambio gateway.</x:v>
      </x:c>
      <x:c r="J71" s="315" t="str">
        <x:v>PASS</x:v>
      </x:c>
      <x:c r="K71" s="11" t="str">
        <x:v>123 geni remoti CLOUD applicati al probe; 38 prima, 51 vicino e 13 dopo la transizione; 162 snapshot con task vicino allo switch.</x:v>
      </x:c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309" t="str">
        <x:v>PASS</x:v>
      </x:c>
      <x:c r="K72" s="11" t="str">
        <x:v>0 geni CLOUD_STABLE_PLACEHOLDER su 51.683 geni; cloud geometrico via gateway quando applicato.</x:v>
      </x:c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11" t="str">
        <x:v>PASS</x:v>
      </x:c>
      <x:c r="K73" s="11" t="str">
        <x:v>36.486 record cross-run; componenti finite e in range.</x:v>
      </x:c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11" t="str">
        <x:v>PASS</x:v>
      </x:c>
      <x:c r="K74" s="11" t="str">
        <x:v>UNKNOWN=104, STABLE=33.736, MODERATE=2.493, HIGH=153.</x:v>
      </x:c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11" t="str">
        <x:v>PASS</x:v>
      </x:c>
      <x:c r="K75" s="11" t="str">
        <x:v>FIRST_RUN=104, WARM_START=33.746, PARTIAL_RESTART=2.471, COLD_START=165.</x:v>
      </x:c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11" t="str">
        <x:v>PASS_CORRECTION_OBSERVED</x:v>
      </x:c>
      <x:c r="K76" s="11" t="str">
        <x:v>22 correzioni di riuso osservate; motivazione presente.</x:v>
      </x:c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11" t="str">
        <x:v>PASS</x:v>
      </x:c>
      <x:c r="K77" s="11" t="str">
        <x:v>FIRST_RUN=104, KEEP=19, CLAMP_TO_BOUNDS=36.363; nessuna azione illegale.</x:v>
      </x:c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11" t="str">
        <x:v>PASS</x:v>
      </x:c>
      <x:c r="K78" s="11" t="str">
        <x:v>Bound violations 0; deltaTMaxMismatchViolations 0.</x:v>
      </x:c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11" t="str">
        <x:v>PASS_WITH_FORCED_STALE_AND_NO_PRIOR_STRATEGY_LIMIT</x:v>
      </x:c>
      <x:c r="K79" s="11" t="str">
        <x:v>G-STALE: 33/33 stale, 0 apply, hard oracles PASS; nessuna strategia precedente disponibile; token EXCEEDS_CURRENT_AND_NEXT non osservato.</x:v>
      </x:c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11" t="str">
        <x:v>PASS</x:v>
      </x:c>
      <x:c r="K80" s="11" t="str">
        <x:v>FIRST_RUN=104; SCHEDULED_WINDOW_EXPIRATION=36.382.</x:v>
      </x:c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11" t="str">
        <x:v>NOT_APPLICABLE_OR_NOT_EXPOSED</x:v>
      </x:c>
      <x:c r="K81" s="11" t="str">
        <x:v>CRITICAL_EVENT non forzato; detector non esposto nel freeze live canonico.</x:v>
      </x:c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223" t="str">
        <x:v>PASS</x:v>
      </x:c>
      <x:c r="K82" s="223" t="str">
        <x:v>MOSAIC live confermato nelle run e nei report; campo sourceMode non presente nel summary stale.</x:v>
      </x:c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223" t="str">
        <x:v>PASS</x:v>
      </x:c>
      <x:c r="K83" s="223" t="str">
        <x:v>STATIC confermato nella campagna canonica e in G-STALE-01.</x:v>
      </x:c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11" t="str">
        <x:v>DEFERRED_OPTIONAL_NOT_REQUIRED_FOR_CANONICAL_G06</x:v>
      </x:c>
      <x:c r="K84" s="11" t="str">
        <x:v>G-ADAPTIVE-01 non eseguita: T-121 opzionale e non canonico.</x:v>
      </x:c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File run</x:v>
      </x:c>
      <x:c r="D85" s="11" t="str">
        <x:v>Tutti i CSV/JSONL/JSON/TXT/MD</x:v>
      </x:c>
      <x:c r="E85" s="11" t="str">
        <x:v>Audit</x:v>
      </x:c>
      <x:c r="F85" s="11" t="str">
        <x:v>tutte run</x:v>
      </x:c>
      <x:c r="G85" s="11" t="str">
        <x:v>Sì</x:v>
      </x:c>
      <x:c r="H85" s="11" t="str">
        <x:v>file presence</x:v>
      </x:c>
      <x:c r="I85" s="11" t="str">
        <x:v>File obbligatori presenti e non vuoti.</x:v>
      </x:c>
      <x:c r="J85" s="223" t="str">
        <x:v>PASS</x:v>
      </x:c>
      <x:c r="K85" s="223" t="str">
        <x:v>Reporting obbligatorio presente e indicizzato; validator senza errori.</x:v>
      </x:c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</x:v>
      </x:c>
      <x:c r="D86" s="11" t="str">
        <x:v>CSV/JSON/JSONL validi</x:v>
      </x:c>
      <x:c r="E86" s="11" t="str">
        <x:v>Parser/validator</x:v>
      </x:c>
      <x:c r="F86" s="11" t="str">
        <x:v>tutte run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224" t="str">
        <x:v>EVIDENZA_PARZIALE</x:v>
      </x:c>
      <x:c r="K86" s="224" t="str">
        <x:v>JSON risultato e detailed report validati; parsing integrale di ogni CSV/JSONL non ancora auditato.</x:v>
      </x:c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Coerenza contatori</x:v>
      </x:c>
      <x:c r="D87" s="11" t="str">
        <x:v>Submitted/completed/applied/stale</x:v>
      </x:c>
      <x:c r="E87" s="11" t="str">
        <x:v>Audit</x:v>
      </x:c>
      <x:c r="F87" s="11" t="str">
        <x:v>tutte run</x:v>
      </x:c>
      <x:c r="G87" s="11" t="str">
        <x:v>Sì</x:v>
      </x:c>
      <x:c r="H87" s="11" t="str">
        <x:v>summary + event log</x:v>
      </x:c>
      <x:c r="I87" s="11" t="str">
        <x:v>Relazioni aritmetiche coerenti.</x:v>
      </x:c>
      <x:c r="J87" s="223" t="str">
        <x:v>PASS</x:v>
      </x:c>
      <x:c r="K87" s="223" t="str">
        <x:v>Submitted/completed/applied/stale aritmeticamente coerenti in 45/45 run.</x:v>
      </x:c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</x:v>
      </x:c>
      <x:c r="F88" s="11" t="str">
        <x:v>tutte run</x:v>
      </x:c>
      <x:c r="G88" s="11" t="str">
        <x:v>Sì</x:v>
      </x:c>
      <x:c r="H88" s="11" t="str">
        <x:v>live_run_summary</x:v>
      </x:c>
      <x:c r="I88" s="11" t="str">
        <x:v>Sempre dichiarato.</x:v>
      </x:c>
      <x:c r="J88" s="223" t="str">
        <x:v>PASS</x:v>
      </x:c>
      <x:c r="K88" s="223" t="str">
        <x:v>taskCompletionModel=NOT_IMPLEMENTED dichiarato in tutte le run.</x:v>
      </x:c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dati</x:v>
      </x:c>
      <x:c r="D89" s="11" t="str">
        <x:v>Configurato/osservato/derivato/ottimizzato</x:v>
      </x:c>
      <x:c r="E89" s="11" t="str">
        <x:v>Documentazione</x:v>
      </x:c>
      <x:c r="F89" s="11" t="str">
        <x:v>tutte run</x:v>
      </x:c>
      <x:c r="G89" s="11" t="str">
        <x:v>Sì</x:v>
      </x:c>
      <x:c r="H89" s="11" t="str">
        <x:v>metadata/report</x:v>
      </x:c>
      <x:c r="I89" s="11" t="str">
        <x:v>Nessuna attribuzione errata a SUMO/MOSAIC.</x:v>
      </x:c>
      <x:c r="J89" s="11" t="str">
        <x:v>DA_ESEGUIRE</x:v>
      </x:c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</x:v>
      </x:c>
      <x:c r="D90" s="11" t="str">
        <x:v>NaN, Infinity, valori negativi illegali</x:v>
      </x:c>
      <x:c r="E90" s="11" t="str">
        <x:v>Scan</x:v>
      </x:c>
      <x:c r="F90" s="11" t="str">
        <x:v>tutte run</x:v>
      </x:c>
      <x:c r="G90" s="11" t="str">
        <x:v>Sì</x:v>
      </x:c>
      <x:c r="H90" s="11" t="str">
        <x:v>all reports</x:v>
      </x:c>
      <x:c r="I90" s="11" t="str">
        <x:v>Zero valori non validi.</x:v>
      </x:c>
      <x:c r="J90" s="224" t="str">
        <x:v>EVIDENZA_PARZIALE</x:v>
      </x:c>
      <x:c r="K90" s="224" t="str">
        <x:v>Validator senza errori; non è stato eseguito uno scan numerico indipendente di ogni artefatto testuale.</x:v>
      </x:c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1:K1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dd08e68a7d4d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degli output e delle metriche — aggiornato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valide; una prova stress opzionale può chiudersi come limite documentato.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92" t="str">
        <x:v>File</x:v>
      </x:c>
      <x:c r="B161" s="92" t="str">
        <x:v>G03_batch_summary.json</x:v>
      </x:c>
      <x:c r="C161" s="92" t="str">
        <x:v>G03 closure</x:v>
      </x:c>
      <x:c r="D161" s="92" t="str">
        <x:v>Riepilogo strutturato della fase.</x:v>
      </x:c>
      <x:c r="E161" s="92" t="str">
        <x:v>Presente nella chiusura G03.</x:v>
      </x:c>
      <x:c r="F161" s="92" t="str">
        <x:v>G03</x:v>
      </x:c>
      <x:c r="G161" s="92" t="str">
        <x:v>No</x:v>
      </x:c>
      <x:c r="H161" s="92" t="str">
        <x:v>Stato PASS_WITH_OPTIONAL_STRESS_LIMIT.</x:v>
      </x:c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92" t="str">
        <x:v>File</x:v>
      </x:c>
      <x:c r="B162" s="92" t="str">
        <x:v>G03_reproducibility_evidence.json</x:v>
      </x:c>
      <x:c r="C162" s="92" t="str">
        <x:v>G03 closure</x:v>
      </x:c>
      <x:c r="D162" s="92" t="str">
        <x:v>Confronto A/B delle materializzazioni.</x:v>
      </x:c>
      <x:c r="E162" s="92" t="str">
        <x:v>LOGICALLY_IDENTICAL con zero differenze logiche.</x:v>
      </x:c>
      <x:c r="F162" s="92" t="str">
        <x:v>CFG-REPRO</x:v>
      </x:c>
      <x:c r="G162" s="92" t="str">
        <x:v>No</x:v>
      </x:c>
      <x:c r="H162" s="92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92" t="str">
        <x:v>File</x:v>
      </x:c>
      <x:c r="B163" s="92" t="str">
        <x:v>G03_runtime_repeat_analysis.json</x:v>
      </x:c>
      <x:c r="C163" s="92" t="str">
        <x:v>G03 closure</x:v>
      </x:c>
      <x:c r="D163" s="92" t="str">
        <x:v>Analisi delle tre run sullo stesso scenario.</x:v>
      </x:c>
      <x:c r="E163" s="92" t="str">
        <x:v>Contatori funzionali identici; runtime host variabile.</x:v>
      </x:c>
      <x:c r="F163" s="92" t="str">
        <x:v>CFG-RUNTIME-REPEAT</x:v>
      </x:c>
      <x:c r="G163" s="92" t="str">
        <x:v>Sì</x:v>
      </x:c>
      <x:c r="H163" s="92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92" t="str">
        <x:v>File</x:v>
      </x:c>
      <x:c r="B164" s="92" t="str">
        <x:v>G03_extended_duration_analysis.json</x:v>
      </x:c>
      <x:c r="C164" s="92" t="str">
        <x:v>G03 closure</x:v>
      </x:c>
      <x:c r="D164" s="92" t="str">
        <x:v>Analisi delle run da 600 s.</x:v>
      </x:c>
      <x:c r="E164" s="92" t="str">
        <x:v>5/5 nominal PASS; stress opzionale separato.</x:v>
      </x:c>
      <x:c r="F164" s="92" t="str">
        <x:v>CFG-N-I-EXT; CFG-H-S-EXT</x:v>
      </x:c>
      <x:c r="G164" s="92" t="str">
        <x:v>Sì</x:v>
      </x:c>
      <x:c r="H164" s="92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92" t="str">
        <x:v>File</x:v>
      </x:c>
      <x:c r="B165" s="92" t="str">
        <x:v>G03_stress_limit_evidence.json</x:v>
      </x:c>
      <x:c r="C165" s="92" t="str">
        <x:v>G03 closure</x:v>
      </x:c>
      <x:c r="D165" s="92" t="str">
        <x:v>Evidenza dell’interruzione stress a 464 s.</x:v>
      </x:c>
      <x:c r="E165" s="92" t="str">
        <x:v>Documentare, non trasformare in PASS e non selezionare un rerun favorevole.</x:v>
      </x:c>
      <x:c r="F165" s="92" t="str">
        <x:v>CFG-H-S-EXT</x:v>
      </x:c>
      <x:c r="G165" s="92" t="str">
        <x:v>No</x:v>
      </x:c>
      <x:c r="H165" s="92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333" t="str">
        <x:v>Stato</x:v>
      </x:c>
      <x:c r="B166" s="334" t="str">
        <x:v>OPTIONAL_STRESS_LIMIT</x:v>
      </x:c>
      <x:c r="C166" s="334" t="str">
        <x:v>G03 closure</x:v>
      </x:c>
      <x:c r="D166" s="334" t="str">
        <x:v>Run opzionale che espone un limite del profilo stress.</x:v>
      </x:c>
      <x:c r="E166" s="334" t="str">
        <x:v>Non equivale a regressione dei profili stabili.</x:v>
      </x:c>
      <x:c r="F166" s="334" t="str">
        <x:v>Stress opzionale</x:v>
      </x:c>
      <x:c r="G166" s="334" t="str">
        <x:v>No</x:v>
      </x:c>
      <x:c r="H166" s="335" t="str">
        <x:v>H-S-EXT-01.</x:v>
      </x:c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319" t="str">
        <x:v>G04-OUT-01</x:v>
      </x:c>
      <x:c r="B167" s="92" t="str">
        <x:v>G04_batch_summary_corrected.json</x:v>
      </x:c>
      <x:c r="C167" s="92" t="str">
        <x:v>JSON</x:v>
      </x:c>
      <x:c r="D167" s="92" t="str">
        <x:v>G04</x:v>
      </x:c>
      <x:c r="E167" s="92" t="str">
        <x:v>Riepilogo corretto delle cinque run</x:v>
      </x:c>
      <x:c r="F167" s="92" t="str">
        <x:v>Usare al posto del riepilogo iniziale incompleto</x:v>
      </x:c>
      <x:c r="G167" s="92" t="str">
        <x:v>5/5 run PASS</x:v>
      </x:c>
      <x:c r="H167" s="320" t="str">
        <x:v>Fonte closure</x:v>
      </x:c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319" t="str">
        <x:v>G04-OUT-02</x:v>
      </x:c>
      <x:c r="B168" s="92" t="str">
        <x:v>G04_run_metrics_corrected.csv</x:v>
      </x:c>
      <x:c r="C168" s="92" t="str">
        <x:v>CSV</x:v>
      </x:c>
      <x:c r="D168" s="92" t="str">
        <x:v>G04</x:v>
      </x:c>
      <x:c r="E168" s="92" t="str">
        <x:v>Metriche autorevoli per singola run</x:v>
      </x:c>
      <x:c r="F168" s="92" t="str">
        <x:v>Non calcolare completion rate</x:v>
      </x:c>
      <x:c r="G168" s="92" t="str">
        <x:v>task, GA, stale, runtime, assegnazioni</x:v>
      </x:c>
      <x:c r="H168" s="320" t="str">
        <x:v>Fonte closure</x:v>
      </x:c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319" t="str">
        <x:v>G04-OUT-03</x:v>
      </x:c>
      <x:c r="B169" s="92" t="str">
        <x:v>G04_full_snapshot_mobility_trace.csv</x:v>
      </x:c>
      <x:c r="C169" s="92" t="str">
        <x:v>CSV</x:v>
      </x:c>
      <x:c r="D169" s="92" t="str">
        <x:v>G04</x:v>
      </x:c>
      <x:c r="E169" s="92" t="str">
        <x:v>Traccia mobility-aware estratta dagli snapshot</x:v>
      </x:c>
      <x:c r="F169" s="92" t="str">
        <x:v>Copertura temporale limitata agli snapshot raccolti</x:v>
      </x:c>
      <x:c r="G169" s="92" t="str">
        <x:v>gateway, candidati, relative speed</x:v>
      </x:c>
      <x:c r="H169" s="320" t="str">
        <x:v>Fonte diagnostica</x:v>
      </x:c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319" t="str">
        <x:v>G04-OUT-04</x:v>
      </x:c>
      <x:c r="B170" s="92" t="str">
        <x:v>G04_gateway_transitions.csv</x:v>
      </x:c>
      <x:c r="C170" s="92" t="str">
        <x:v>CSV</x:v>
      </x:c>
      <x:c r="D170" s="92" t="str">
        <x:v>G04</x:v>
      </x:c>
      <x:c r="E170" s="92" t="str">
        <x:v>Transizioni gateway osservate</x:v>
      </x:c>
      <x:c r="F170" s="92" t="str">
        <x:v>Solo intestazione = zero transizioni</x:v>
      </x:c>
      <x:c r="G170" s="92" t="str">
        <x:v>Non dichiarare T-098 PASS</x:v>
      </x:c>
      <x:c r="H170" s="320" t="str">
        <x:v>Fonte negativa</x:v>
      </x:c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321" t="str">
        <x:v>G04-OUT-05</x:v>
      </x:c>
      <x:c r="B171" s="322" t="str">
        <x:v>T090_T099_results.csv</x:v>
      </x:c>
      <x:c r="C171" s="322" t="str">
        <x:v>CSV</x:v>
      </x:c>
      <x:c r="D171" s="322" t="str">
        <x:v>G04</x:v>
      </x:c>
      <x:c r="E171" s="322" t="str">
        <x:v>Verdetti funzionali formalizzati</x:v>
      </x:c>
      <x:c r="F171" s="322" t="str">
        <x:v>Distinguere run PASS da osservabilità</x:v>
      </x:c>
      <x:c r="G171" s="322" t="str">
        <x:v>10 test, 0 FAIL</x:v>
      </x:c>
      <x:c r="H171" s="323" t="str">
        <x:v>Fonte matrici</x:v>
      </x:c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 t="str">
        <x:v>G06-OUT-01</x:v>
      </x:c>
      <x:c r="B172" s="11" t="str">
        <x:v>G06_G_STALE_technical_result.json</x:v>
      </x:c>
      <x:c r="C172" s="11" t="str">
        <x:v>JSON</x:v>
      </x:c>
      <x:c r="D172" s="11" t="str">
        <x:v>G06</x:v>
      </x:c>
      <x:c r="E172" s="11" t="str">
        <x:v>Risultato tecnico della run forced-stale</x:v>
      </x:c>
      <x:c r="F172" s="11" t="str">
        <x:v>Validator canonico conservato</x:v>
      </x:c>
      <x:c r="G172" s="11" t="str">
        <x:v>33/33 stale; hard oracles PASS</x:v>
      </x:c>
      <x:c r="H172" s="11" t="str">
        <x:v>Fonte G06-B</x:v>
      </x:c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 t="str">
        <x:v>G06-OUT-02</x:v>
      </x:c>
      <x:c r="B173" s="11" t="str">
        <x:v>G06_G_STALE_temporal_observations.csv</x:v>
      </x:c>
      <x:c r="C173" s="11" t="str">
        <x:v>CSV</x:v>
      </x:c>
      <x:c r="D173" s="11" t="str">
        <x:v>G06</x:v>
      </x:c>
      <x:c r="E173" s="11" t="str">
        <x:v>Record temporali della run stale</x:v>
      </x:c>
      <x:c r="F173" s="11" t="str">
        <x:v>Tutti FIRST_RUN nella run estrema</x:v>
      </x:c>
      <x:c r="G173" s="11" t="str">
        <x:v>33 STALE_DISCARDED</x:v>
      </x:c>
      <x:c r="H173" s="11" t="str">
        <x:v>Fonte G06-B</x:v>
      </x:c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 t="str">
        <x:v>G06-OUT-03</x:v>
      </x:c>
      <x:c r="B174" s="11" t="str">
        <x:v>G06_C_cross_run_temporal_evidence.csv</x:v>
      </x:c>
      <x:c r="C174" s="11" t="str">
        <x:v>CSV</x:v>
      </x:c>
      <x:c r="D174" s="11" t="str">
        <x:v>G06</x:v>
      </x:c>
      <x:c r="E174" s="11" t="str">
        <x:v>Evidenze temporali cross-run</x:v>
      </x:c>
      <x:c r="F174" s="11" t="str">
        <x:v>Usare per T-110–T-117</x:v>
      </x:c>
      <x:c r="G174" s="11" t="str">
        <x:v>36.486 record</x:v>
      </x:c>
      <x:c r="H174" s="11" t="str">
        <x:v>Fonte G06-C</x:v>
      </x:c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 t="str">
        <x:v>G06-OUT-04</x:v>
      </x:c>
      <x:c r="B175" s="11" t="str">
        <x:v>G06_C_test_verdicts_T110_T121.csv</x:v>
      </x:c>
      <x:c r="C175" s="11" t="str">
        <x:v>CSV</x:v>
      </x:c>
      <x:c r="D175" s="11" t="str">
        <x:v>G06</x:v>
      </x:c>
      <x:c r="E175" s="11" t="str">
        <x:v>Verdetti controllati dei test temporali</x:v>
      </x:c>
      <x:c r="F175" s="11" t="str">
        <x:v>T-118 N/A; T-121 opzionale</x:v>
      </x:c>
      <x:c r="G175" s="11" t="str">
        <x:v>10 test canonici coperti</x:v>
      </x:c>
      <x:c r="H175" s="11" t="str">
        <x:v>Fonte matrici</x:v>
      </x:c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 t="str">
        <x:v>Stato</x:v>
      </x:c>
      <x:c r="B176" s="11" t="str">
        <x:v>PASS_WITH_EXPECTED_CANONICAL_VALIDATOR_REJECTION</x:v>
      </x:c>
      <x:c r="C176" s="11" t="str">
        <x:v>G06</x:v>
      </x:c>
      <x:c r="D176" s="11" t="str">
        <x:v>Run valida nel profilo forced-stale</x:v>
      </x:c>
      <x:c r="E176" s="11" t="str">
        <x:v>Il validator smoke richiede almeno una strategia applicata</x:v>
      </x:c>
      <x:c r="F176" s="11" t="str">
        <x:v>Non modificare il validator canonico</x:v>
      </x:c>
      <x:c r="G176" s="11" t="str">
        <x:v>G-STALE-01</x:v>
      </x:c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 t="str">
        <x:v>Stato</x:v>
      </x:c>
      <x:c r="B177" s="11" t="str">
        <x:v>PASS_WITH_FORCED_STALE_AND_NO_PRIOR_STRATEGY_LIMIT</x:v>
      </x:c>
      <x:c r="C177" s="11" t="str">
        <x:v>G06</x:v>
      </x:c>
      <x:c r="D177" s="11" t="str">
        <x:v>Scarto stale dimostrato senza strategia precedente</x:v>
      </x:c>
      <x:c r="E177" s="11" t="str">
        <x:v>Keep-last non osservabile nella run</x:v>
      </x:c>
      <x:c r="F177" s="11" t="str">
        <x:v>Documentare il limite</x:v>
      </x:c>
      <x:c r="G177" s="11" t="str">
        <x:v>T-116</x:v>
      </x:c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c1eed296db5f4cc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Oracoli e criteri di accettazione — aggiornati dopo G04-R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 / DISPONIBILITÀ DATI</x:v>
      </x:c>
      <x:c r="C7" s="11" t="str">
        <x:v>SUMO</x:v>
      </x:c>
      <x:c r="D7" s="11" t="str">
        <x:v>Errors/teleports/emergency braking</x:v>
      </x:c>
      <x:c r="E7" s="11" t="str">
        <x:v>0 solo se riportato esplicitamente</x:v>
      </x:c>
      <x:c r="F7" s="11" t="str">
        <x:v>Scartare se &gt;0; se assente usare NON_DISPONIBILE</x:v>
      </x:c>
      <x:c r="G7" s="11" t="str">
        <x:v>Run con metrica esposta</x:v>
      </x:c>
      <x:c r="H7" s="11" t="str">
        <x:v>Non inferire valori numerici.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Run obbligatorie e run classificate PASS</x:v>
      </x:c>
      <x:c r="H9" s="11" t="str">
        <x:v>H-S-EXT-01 è una prova opzionale stress e documenta un limite a 464 s.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333" t="str">
        <x:v>O-047</x:v>
      </x:c>
      <x:c r="B42" s="334" t="str">
        <x:v>SOFT / STRESS</x:v>
      </x:c>
      <x:c r="C42" s="334" t="str">
        <x:v>Endurance</x:v>
      </x:c>
      <x:c r="D42" s="334" t="str">
        <x:v>Run opzionale high_density non completa</x:v>
      </x:c>
      <x:c r="E42" s="334" t="str">
        <x:v>Registrare tempo raggiunto e causa; non forzare PASS</x:v>
      </x:c>
      <x:c r="F42" s="334" t="str">
        <x:v>Documentare limite e non ripetere selettivamente</x:v>
      </x:c>
      <x:c r="G42" s="334" t="str">
        <x:v>CFG-H-S-EXT</x:v>
      </x:c>
      <x:c r="H42" s="335" t="str">
        <x:v>Osservato a 464 s in G03.</x:v>
      </x:c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319" t="str">
        <x:v>O-048</x:v>
      </x:c>
      <x:c r="B43" s="92" t="str">
        <x:v>G04</x:v>
      </x:c>
      <x:c r="C43" s="92" t="str">
        <x:v>PASS tecnico ≠ PASS funzionale</x:v>
      </x:c>
      <x:c r="D43" s="92" t="str">
        <x:v>Hard</x:v>
      </x:c>
      <x:c r="E43" s="92" t="str">
        <x:v>Validator, errori, lag e violazioni certificano la run, non tutte le funzioni associate.</x:v>
      </x:c>
      <x:c r="F43" s="92" t="str">
        <x:v>Separare sempre stato run e verdetto test.</x:v>
      </x:c>
      <x:c r="G43" s="92" t="str">
        <x:v>Audit G04</x:v>
      </x:c>
      <x:c r="H43" s="320" t="str">
        <x:v>Applicato</x:v>
      </x:c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319" t="str">
        <x:v>O-049</x:v>
      </x:c>
      <x:c r="B44" s="92" t="str">
        <x:v>G04</x:v>
      </x:c>
      <x:c r="C44" s="92" t="str">
        <x:v>Gateway switch</x:v>
      </x:c>
      <x:c r="D44" s="92" t="str">
        <x:v>Hard</x:v>
      </x:c>
      <x:c r="E44" s="92" t="str">
        <x:v>T-098 PASS solo con almeno una riga di transizione dimostrata.</x:v>
      </x:c>
      <x:c r="F44" s="92" t="str">
        <x:v>CSV con sola intestazione implica NON_OSSERVATO.</x:v>
      </x:c>
      <x:c r="G44" s="92" t="str">
        <x:v>G04_gateway_transitions.csv</x:v>
      </x:c>
      <x:c r="H44" s="320" t="str">
        <x:v>Applicato</x:v>
      </x:c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19" t="str">
        <x:v>O-050</x:v>
      </x:c>
      <x:c r="B45" s="92" t="str">
        <x:v>G04</x:v>
      </x:c>
      <x:c r="C45" s="92" t="str">
        <x:v>Strategia applicata vs stale</x:v>
      </x:c>
      <x:c r="D45" s="92" t="str">
        <x:v>Hard</x:v>
      </x:c>
      <x:c r="E45" s="92" t="str">
        <x:v>Un gene in STALE_DISCARDED non prova una decisione applicata.</x:v>
      </x:c>
      <x:c r="F45" s="92" t="str">
        <x:v>Etichettare evidenza parziale.</x:v>
      </x:c>
      <x:c r="G45" s="92" t="str">
        <x:v>JSONL decisioni</x:v>
      </x:c>
      <x:c r="H45" s="320" t="str">
        <x:v>Applicato</x:v>
      </x:c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O-049</x:v>
      </x:c>
      <x:c r="B46" s="92" t="str">
        <x:v>G04/G04-R</x:v>
      </x:c>
      <x:c r="C46" s="92" t="str">
        <x:v>Gateway switch</x:v>
      </x:c>
      <x:c r="D46" s="92" t="str">
        <x:v>Hard</x:v>
      </x:c>
      <x:c r="E46" s="92" t="str">
        <x:v>T-098 PASS solo con transizione runtime e decisioni remote correlate.</x:v>
      </x:c>
      <x:c r="F46" s="92" t="str">
        <x:v>G04-R soddisfa il criterio con switch a 81,8 s.</x:v>
      </x:c>
      <x:c r="G46" s="92" t="str">
        <x:v>G04_R_probe_timeline.csv + genes</x:v>
      </x:c>
      <x:c r="H46" s="320" t="str">
        <x:v>Applicato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21" t="str">
        <x:v>O-052</x:v>
      </x:c>
      <x:c r="B47" s="322" t="str">
        <x:v>G04</x:v>
      </x:c>
      <x:c r="C47" s="322" t="str">
        <x:v>SUMO metrics null</x:v>
      </x:c>
      <x:c r="D47" s="322" t="str">
        <x:v>Hard</x:v>
      </x:c>
      <x:c r="E47" s="322" t="str">
        <x:v>null non equivale a zero.</x:v>
      </x:c>
      <x:c r="F47" s="322" t="str">
        <x:v>Non dichiarare numeri non prodotti.</x:v>
      </x:c>
      <x:c r="G47" s="322" t="str">
        <x:v>Result JSON</x:v>
      </x:c>
      <x:c r="H47" s="323" t="str">
        <x:v>Applicato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O-053</x:v>
      </x:c>
      <x:c r="B48" s="11" t="str">
        <x:v>G06</x:v>
      </x:c>
      <x:c r="C48" s="11" t="str">
        <x:v>Validator forced-stale</x:v>
      </x:c>
      <x:c r="D48" s="11" t="str">
        <x:v>Hard contestuale</x:v>
      </x:c>
      <x:c r="E48" s="11" t="str">
        <x:v>LITERATURE_SMOKE_TEST_FAILED accettabile solo con unico errore strategyApplications &lt;= 0 e tutti i job completati scartati stale.</x:v>
      </x:c>
      <x:c r="F48" s="11" t="str">
        <x:v>Non modificare il validator canonico.</x:v>
      </x:c>
      <x:c r="G48" s="11" t="str">
        <x:v>CFG-G-STALE</x:v>
      </x:c>
      <x:c r="H48" s="11" t="str">
        <x:v>Applicato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O-054</x:v>
      </x:c>
      <x:c r="B49" s="11" t="str">
        <x:v>G06</x:v>
      </x:c>
      <x:c r="C49" s="11" t="str">
        <x:v>Keep-last strategy</x:v>
      </x:c>
      <x:c r="D49" s="11" t="str">
        <x:v>Osservabilità</x:v>
      </x:c>
      <x:c r="E49" s="11" t="str">
        <x:v>Richiede almeno una strategia precedente applicata.</x:v>
      </x:c>
      <x:c r="F49" s="11" t="str">
        <x:v>0 applicazioni implica percorso non osservabile, non FAIL.</x:v>
      </x:c>
      <x:c r="G49" s="11" t="str">
        <x:v>CFG-G-STALE</x:v>
      </x:c>
      <x:c r="H49" s="11" t="str">
        <x:v>Applicato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O-055</x:v>
      </x:c>
      <x:c r="B50" s="11" t="str">
        <x:v>G06</x:v>
      </x:c>
      <x:c r="C50" s="11" t="str">
        <x:v>Cross-run temporal coverage</x:v>
      </x:c>
      <x:c r="D50" s="11" t="str">
        <x:v>Hard audit</x:v>
      </x:c>
      <x:c r="E50" s="11" t="str">
        <x:v>Trigger, livelli, riuso e azioni devono essere tracciati su un corpus verificabile.</x:v>
      </x:c>
      <x:c r="F50" s="11" t="str">
        <x:v>Usare record JSONL, non inferenze dal solo summary.</x:v>
      </x:c>
      <x:c r="G50" s="11" t="str">
        <x:v>T-110–T-117</x:v>
      </x:c>
      <x:c r="H50" s="11" t="str">
        <x:v>Applicato</x:v>
      </x:c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O-056</x:v>
      </x:c>
      <x:c r="B51" s="11" t="str">
        <x:v>G06</x:v>
      </x:c>
      <x:c r="C51" s="11" t="str">
        <x:v>Run opzionali</x:v>
      </x:c>
      <x:c r="D51" s="11" t="str">
        <x:v>Decisione</x:v>
      </x:c>
      <x:c r="E51" s="11" t="str">
        <x:v>Non eseguire G-SPARSE/G-ADAPTIVE se i test obbligatori sono già coperti.</x:v>
      </x:c>
      <x:c r="F51" s="11" t="str">
        <x:v>T-121 resta opzionale e separato dalla baseline STATIC.</x:v>
      </x:c>
      <x:c r="G51" s="11" t="str">
        <x:v>G06</x:v>
      </x:c>
      <x:c r="H51" s="11" t="str">
        <x:v>Applicato</x:v>
      </x:c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O-057</x:v>
      </x:c>
      <x:c r="B52" s="11" t="str">
        <x:v>G04-R</x:v>
      </x:c>
      <x:c r="C52" s="11" t="str">
        <x:v>Validator workload statico</x:v>
      </x:c>
      <x:c r="D52" s="11" t="str">
        <x:v>Hard contestuale</x:v>
      </x:c>
      <x:c r="E52" s="11" t="str">
        <x:v>LITERATURE_SMOKE_TEST_FAILED accettabile solo se l’unico errore è tasksGeneratedCumulative &lt;= 0, con task statici attivati &gt;0, simulazione completa e oracoli hard a zero.</x:v>
      </x:c>
      <x:c r="F52" s="11" t="str">
        <x:v>Non modificare il validator canonico.</x:v>
      </x:c>
      <x:c r="G52" s="11" t="str">
        <x:v>CFG-G04-R-HANDOVER</x:v>
      </x:c>
      <x:c r="H52" s="11" t="str">
        <x:v>Applicato</x:v>
      </x:c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O-058</x:v>
      </x:c>
      <x:c r="B53" s="11" t="str">
        <x:v>G04-R</x:v>
      </x:c>
      <x:c r="C53" s="11" t="str">
        <x:v>Identità veicolo probe</x:v>
      </x:c>
      <x:c r="D53" s="11" t="str">
        <x:v>Hard harness</x:v>
      </x:c>
      <x:c r="E53" s="11" t="str">
        <x:v>L’identificativo route SUMO deve essere ricondotto all’identificativo runtime MOSAIC prima di associare task o analizzare snapshot.</x:v>
      </x:c>
      <x:c r="F53" s="11" t="str">
        <x:v>Escludere i tentativi con mapping errato.</x:v>
      </x:c>
      <x:c r="G53" s="11" t="str">
        <x:v>synthetic_005 -&gt; veh_2</x:v>
      </x:c>
      <x:c r="H53" s="11" t="str">
        <x:v>Applicato</x:v>
      </x:c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3997d69c554ca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6" hidden="0" customWidth="1"/>
    <x:col min="6" max="6" width="36" hidden="0" customWidth="1"/>
    <x:col min="7" max="7" width="36" hidden="0" customWidth="1"/>
  </x:cols>
  <x:sheetData>
    <x:row r="1" ht="28" customHeight="1">
      <x:c r="A1" s="60" t="str">
        <x:v>Checklist operativa — aggiornata dopo G04-R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11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11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11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11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11" t="str">
        <x:v>PASS</x:v>
      </x:c>
      <x:c r="F8" s="11" t="str">
        <x:v>Manifest cleanup + checkpoint post-pulizia</x:v>
      </x:c>
      <x:c r="G8" s="11" t="str">
        <x:v>Pulizia pre-G02 completata e verificata. Backup consolidamento e log storici archiviati sotto tmp/archive; pipeline completa post-pulizia superata.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11" t="str">
        <x:v>PASS</x:v>
      </x:c>
      <x:c r="F9" s="11" t="str">
        <x:v>manifest scenario</x:v>
      </x:c>
      <x:c r="G9" s="11" t="str">
        <x:v>Manifest Config_ID verificato per tutte le 45 run principali.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11" t="str">
        <x:v>PASS</x:v>
      </x:c>
      <x:c r="F10" s="11" t="str">
        <x:v>config workload</x:v>
      </x:c>
      <x:c r="G10" s="11" t="str">
        <x:v>Pesi LIGHT/MEDIUM/HEAVY verificati: somma pari a 1 per tutti i profili configurati.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11" t="str">
        <x:v>PASS</x:v>
      </x:c>
      <x:c r="F11" s="11" t="str">
        <x:v>manifest scenario</x:v>
      </x:c>
      <x:c r="G11" s="11" t="str">
        <x:v>Densità, durata 300 s e cinque seed registrati per tutte le 45 run.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11" t="str">
        <x:v>PASS</x:v>
      </x:c>
      <x:c r="F12" s="11" t="str">
        <x:v>config scenario</x:v>
      </x:c>
      <x:c r="G12" s="11" t="str">
        <x:v>Moltiplicatori risorse registrati nei manifest delle nove configurazioni.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309" t="str">
        <x:v>PASS</x:v>
      </x:c>
      <x:c r="F13" s="11" t="str">
        <x:v>materialization report</x:v>
      </x:c>
      <x:c r="G13" s="11" t="str">
        <x:v>Focus route delle cinque configurazioni G04 documentato nei result JSON e nelle configurazioni.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11" t="str">
        <x:v>PASS</x:v>
      </x:c>
      <x:c r="F14" s="11" t="str">
        <x:v>report validator</x:v>
      </x:c>
      <x:c r="G14" s="11" t="str">
        <x:v>Materializzazioni e preflight validati per nove configurazioni × cinque seed.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11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11" t="str">
        <x:v>PASS</x:v>
      </x:c>
      <x:c r="F16" s="11" t="str">
        <x:v>DB + validator</x:v>
      </x:c>
      <x:c r="G16" s="11" t="str">
        <x:v>Database SQLite e scenari materializzati validi per tutte le 45 run.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11" t="str">
        <x:v>PASS</x:v>
      </x:c>
      <x:c r="F17" s="11" t="str">
        <x:v>deploy report</x:v>
      </x:c>
      <x:c r="G17" s="11" t="str">
        <x:v>Deploy e hash del JAR validato verificati in tutti i batch G02.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11" t="str">
        <x:v>PASS</x:v>
      </x:c>
      <x:c r="F18" s="11" t="str">
        <x:v>Piano_run</x:v>
      </x:c>
      <x:c r="G18" s="11" t="str">
        <x:v>Nome e directory MOSAIC registrati per tutte le 45 run.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11" t="str">
        <x:v>PASS</x:v>
      </x:c>
      <x:c r="F19" s="11" t="str">
        <x:v>live_run_summary.json</x:v>
      </x:c>
      <x:c r="G19" s="11" t="str">
        <x:v>simulationCompleted=true verificato in 45/45 G02 e nelle 8 run G03 PASS; H-S-EXT opzionale esclusa perché interrotta.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11" t="str">
        <x:v>PASS</x:v>
      </x:c>
      <x:c r="F20" s="11" t="str">
        <x:v>inventario run</x:v>
      </x:c>
      <x:c r="G20" s="11" t="str">
        <x:v>Reporting completo per 45 run G02 e 8 run G03 PASS; la run stress opzionale non ha prodotto report finali.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309" t="str">
        <x:v>PASS</x:v>
      </x:c>
      <x:c r="F21" s="224" t="str">
        <x:v>Validator + audit parser</x:v>
      </x:c>
      <x:c r="G21" s="224" t="str">
        <x:v>CSV, JSON e JSONL usati nell’audit G04 risultano parsabili; gli hash dei bundle sono coerenti.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11" t="str">
        <x:v>PASS</x:v>
      </x:c>
      <x:c r="F22" s="11" t="str">
        <x:v>summary</x:v>
      </x:c>
      <x:c r="G22" s="11" t="str">
        <x:v>Lag massimo 0 s e violazioni runtime 0 in tutte le 45 run.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11" t="str">
        <x:v>DA_ESEGUIRE</x:v>
      </x:c>
      <x:c r="F23" s="11" t="str">
        <x:v>tabella aggregata</x:v>
      </x:c>
      <x:c r="G23" s="11" t="str">
        <x:v>Il reporting consolida il profilo configurato, ma non espone ancora un conteggio osservato finale per classe task.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11" t="str">
        <x:v>PASS</x:v>
      </x:c>
      <x:c r="F24" s="11" t="str">
        <x:v>tabella aggregata</x:v>
      </x:c>
      <x:c r="G24" s="11" t="str">
        <x:v>Metriche runtime e stale consolidate per G02 e per le 8 run G03 PASS.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11" t="str">
        <x:v>EVIDENZA_PARZIALE</x:v>
      </x:c>
      <x:c r="F25" s="11" t="str">
        <x:v>detailed report</x:v>
      </x:c>
      <x:c r="G25" s="11" t="str">
        <x:v>Detailed report disponibile per tutte le run; analisi comparativa del fitness ancora da sviluppare.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11" t="str">
        <x:v>PASS</x:v>
      </x:c>
      <x:c r="F26" s="11" t="str">
        <x:v>decision summary</x:v>
      </x:c>
      <x:c r="G26" s="11" t="str">
        <x:v>Assegnazioni LOCAL/VEHICLE/EDGE/CLOUD estratte e aggregate per tutte le configurazioni.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11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309" t="str">
        <x:v>PASS</x:v>
      </x:c>
      <x:c r="F28" s="11" t="str">
        <x:v>mobility reports</x:v>
      </x:c>
      <x:c r="G28" s="11" t="str">
        <x:v>Audit T-090–T-099 completato con stati normalizzati e limiti espliciti.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11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11" t="str">
        <x:v>PASS</x:v>
      </x:c>
      <x:c r="F30" s="11" t="str">
        <x:v>Piano_run</x:v>
      </x:c>
      <x:c r="G30" s="11" t="str">
        <x:v>Completate 45/45 run principali: nove configurazioni con 5/5 PASS.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11" t="str">
        <x:v>PASS</x:v>
      </x:c>
      <x:c r="F31" s="11" t="str">
        <x:v>Piano_run</x:v>
      </x:c>
      <x:c r="G31" s="11" t="str">
        <x:v>5/5 run CFG-N-I-EXT da 600 s completate; lag 0 e violazioni 0.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395" t="str">
        <x:v>PASS_CON_LIMITAZIONE</x:v>
      </x:c>
      <x:c r="F32" s="11" t="str">
        <x:v>Catalogo_test</x:v>
      </x:c>
      <x:c r="G32" s="11" t="str">
        <x:v>T-090–T-099 tutti valutati: 2 PASS, 4 PASS_CON_LIMITAZIONE, 2 EVIDENZA_PARZIALE, 2 NON_OSSERVATO, 0 FAIL.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11" t="str">
        <x:v>PASS</x:v>
      </x:c>
      <x:c r="F33" s="11" t="str">
        <x:v>XLSX risultati</x:v>
      </x:c>
      <x:c r="G33" s="11" t="str">
        <x:v>Create tabelle aggregate tra seed, per configurazione e complessive nel foglio 12_Risultati_G02.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11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11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11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11" t="str">
        <x:v>PASS</x:v>
      </x:c>
      <x:c r="F37" s="11" t="str">
        <x:v>risultati</x:v>
      </x:c>
      <x:c r="G37" s="11" t="str">
        <x:v>high_density resta stress profile; H-S-EXT ha osservato limite endurance a 464 s.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11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11" t="str">
        <x:v>EVIDENZA_PARZIALE</x:v>
      </x:c>
      <x:c r="F39" s="11" t="str">
        <x:v>Limiti + audit G02B</x:v>
      </x:c>
      <x:c r="G39" s="11" t="str">
        <x:v>Limiti principali dichiarati; audit finale trasversale G07 non ancora eseguito.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223" t="str">
        <x:v>C-037</x:v>
      </x:c>
      <x:c r="B40" s="223" t="str">
        <x:v>Dopo</x:v>
      </x:c>
      <x:c r="C40" s="223" t="str">
        <x:v>Audit di fattibilità G02B completato</x:v>
      </x:c>
      <x:c r="D40" s="223" t="str">
        <x:v>Sì</x:v>
      </x:c>
      <x:c r="E40" s="223" t="str">
        <x:v>PASS</x:v>
      </x:c>
      <x:c r="F40" s="223" t="str">
        <x:v>audit_G02B_feasibility.md</x:v>
      </x:c>
      <x:c r="G40" s="223" t="str">
        <x:v>Audit G02B completato; esecuzione pianificata dopo l’audit residuo post-G06.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228" t="str">
        <x:v>C-038</x:v>
      </x:c>
      <x:c r="B41" s="228" t="str">
        <x:v>Dopo</x:v>
      </x:c>
      <x:c r="C41" s="228" t="str">
        <x:v>Varianti G02B configurabili senza core change</x:v>
      </x:c>
      <x:c r="D41" s="228" t="str">
        <x:v>Sì</x:v>
      </x:c>
      <x:c r="E41" s="228" t="str">
        <x:v>NON_DISPONIBILE</x:v>
      </x:c>
      <x:c r="F41" s="228" t="str">
        <x:v>g02b_support_decision.json</x:v>
      </x:c>
      <x:c r="G41" s="228" t="str">
        <x:v>Non configurabili nel freeze; modifiche minime su branch sperimentale dopo l’audit residuo.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15" t="str">
        <x:v>C-039</x:v>
      </x:c>
      <x:c r="B42" s="215" t="str">
        <x:v>Dopo</x:v>
      </x:c>
      <x:c r="C42" s="215" t="str">
        <x:v>Decisione sul perimetro G02B</x:v>
      </x:c>
      <x:c r="D42" s="215" t="str">
        <x:v>Sì</x:v>
      </x:c>
      <x:c r="E42" s="215" t="str">
        <x:v>PLANNED_AFTER_RESIDUAL_AUDIT</x:v>
      </x:c>
      <x:c r="F42" s="215" t="str">
        <x:v>decisione utente</x:v>
      </x:c>
      <x:c r="G42" s="215" t="str">
        <x:v>G02B resta ultimo gruppo con nuove simulazioni; baseline G02 riutilizzate; poi G07.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C-040</x:v>
      </x:c>
      <x:c r="B43" s="11" t="str">
        <x:v>Dopo</x:v>
      </x:c>
      <x:c r="C43" s="11" t="str">
        <x:v>Determinismo logico materializzazione G03 verificato</x:v>
      </x:c>
      <x:c r="D43" s="11" t="str">
        <x:v>Sì</x:v>
      </x:c>
      <x:c r="E43" s="11" t="str">
        <x:v>PASS</x:v>
      </x:c>
      <x:c r="F43" s="11" t="str">
        <x:v>G03_reproducibility_evidence.json</x:v>
      </x:c>
      <x:c r="G43" s="11" t="str">
        <x:v>2/2 materializzazioni validate; differenze logiche 0.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C-041</x:v>
      </x:c>
      <x:c r="B44" s="11" t="str">
        <x:v>Dopo</x:v>
      </x:c>
      <x:c r="C44" s="11" t="str">
        <x:v>Ripetibilità runtime G03 verificata</x:v>
      </x:c>
      <x:c r="D44" s="11" t="str">
        <x:v>Sì</x:v>
      </x:c>
      <x:c r="E44" s="11" t="str">
        <x:v>PASS</x:v>
      </x:c>
      <x:c r="F44" s="11" t="str">
        <x:v>G03_runtime_repeat_analysis.json</x:v>
      </x:c>
      <x:c r="G44" s="11" t="str">
        <x:v>3/3 run PASS; contatori funzionali identici; runtime host variabile.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33" t="str">
        <x:v>C-042</x:v>
      </x:c>
      <x:c r="B45" s="334" t="str">
        <x:v>Dopo</x:v>
      </x:c>
      <x:c r="C45" s="334" t="str">
        <x:v>Limite stress opzionale registrato senza rerun selettivo</x:v>
      </x:c>
      <x:c r="D45" s="334" t="str">
        <x:v>Sì</x:v>
      </x:c>
      <x:c r="E45" s="334" t="str">
        <x:v>PASS</x:v>
      </x:c>
      <x:c r="F45" s="334" t="str">
        <x:v>G03_stress_limit_evidence.json</x:v>
      </x:c>
      <x:c r="G45" s="335" t="str">
        <x:v>H-S-EXT-01 interrotta a 464 s; causa TraCI/watchdog documentata.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C-043</x:v>
      </x:c>
      <x:c r="B46" s="92" t="str">
        <x:v>Dopo</x:v>
      </x:c>
      <x:c r="C46" s="92" t="str">
        <x:v>Cinque run G04 verificate senza rerun</x:v>
      </x:c>
      <x:c r="D46" s="92" t="str">
        <x:v>Sì</x:v>
      </x:c>
      <x:c r="E46" s="92" t="str">
        <x:v>PASS</x:v>
      </x:c>
      <x:c r="F46" s="92" t="str">
        <x:v>Result JSON e bundle offline</x:v>
      </x:c>
      <x:c r="G46" s="320" t="str">
        <x:v>5/5 run tecnicamente PASS; hash e CRC verificati.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19" t="str">
        <x:v>C-044</x:v>
      </x:c>
      <x:c r="B47" s="92" t="str">
        <x:v>Dopo</x:v>
      </x:c>
      <x:c r="C47" s="92" t="str">
        <x:v>Verdetti T-090–T-099 formalizzati</x:v>
      </x:c>
      <x:c r="D47" s="92" t="str">
        <x:v>Sì</x:v>
      </x:c>
      <x:c r="E47" s="92" t="str">
        <x:v>PASS</x:v>
      </x:c>
      <x:c r="F47" s="92" t="str">
        <x:v>T090_T099_results.csv</x:v>
      </x:c>
      <x:c r="G47" s="320" t="str">
        <x:v>10/10 valutati; 0 FAIL; limiti di osservabilità espliciti.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319" t="str">
        <x:v>C-045</x:v>
      </x:c>
      <x:c r="B48" s="92" t="str">
        <x:v>Dopo</x:v>
      </x:c>
      <x:c r="C48" s="92" t="str">
        <x:v>Gateway switch non inventato</x:v>
      </x:c>
      <x:c r="D48" s="92" t="str">
        <x:v>Sì</x:v>
      </x:c>
      <x:c r="E48" s="92" t="str">
        <x:v>PASS</x:v>
      </x:c>
      <x:c r="F48" s="92" t="str">
        <x:v>G04_gateway_transitions.csv</x:v>
      </x:c>
      <x:c r="G48" s="320" t="str">
        <x:v>T-098 NON_OSSERVATO; CSV senza transizioni.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319" t="str">
        <x:v>C-046</x:v>
      </x:c>
      <x:c r="B49" s="92" t="str">
        <x:v>Dopo</x:v>
      </x:c>
      <x:c r="C49" s="92" t="str">
        <x:v>Stale V2V interpretato correttamente</x:v>
      </x:c>
      <x:c r="D49" s="92" t="str">
        <x:v>Sì</x:v>
      </x:c>
      <x:c r="E49" s="92" t="str">
        <x:v>PASS_CON_LIMITAZIONE</x:v>
      </x:c>
      <x:c r="F49" s="92" t="str">
        <x:v>M-V2V-01 result</x:v>
      </x:c>
      <x:c r="G49" s="320" t="str">
        <x:v>48,186528%; nessun lag/violazione; non classificato automaticamente come bug core.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321" t="str">
        <x:v>C-047</x:v>
      </x:c>
      <x:c r="B50" s="322" t="str">
        <x:v>Dopo</x:v>
      </x:c>
      <x:c r="C50" s="322" t="str">
        <x:v>G05 indicato come prossimo gruppo dopo G04</x:v>
      </x:c>
      <x:c r="D50" s="322" t="str">
        <x:v>Sì</x:v>
      </x:c>
      <x:c r="E50" s="322" t="str">
        <x:v>PASS</x:v>
      </x:c>
      <x:c r="F50" s="322" t="str">
        <x:v>Matrici post-G04</x:v>
      </x:c>
      <x:c r="G50" s="323" t="str">
        <x:v>Checkpoint storico; G05 è ora completata.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C-048</x:v>
      </x:c>
      <x:c r="B51" s="11" t="str">
        <x:v>Dopo</x:v>
      </x:c>
      <x:c r="C51" s="11" t="str">
        <x:v>Sei run G05 verificate tecnicamente</x:v>
      </x:c>
      <x:c r="D51" s="11" t="str">
        <x:v>Sì</x:v>
      </x:c>
      <x:c r="E51" s="11" t="str">
        <x:v>PASS</x:v>
      </x:c>
      <x:c r="F51" s="11" t="str">
        <x:v>G05 execution batch</x:v>
      </x:c>
      <x:c r="G51" s="11" t="str">
        <x:v>6/6 validator PASS; lag 0; violazioni 0.</x:v>
      </x:c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C-049</x:v>
      </x:c>
      <x:c r="B52" s="11" t="str">
        <x:v>Dopo</x:v>
      </x:c>
      <x:c r="C52" s="11" t="str">
        <x:v>Strategie APPLIED separate dai risultati stale</x:v>
      </x:c>
      <x:c r="D52" s="11" t="str">
        <x:v>Sì</x:v>
      </x:c>
      <x:c r="E52" s="11" t="str">
        <x:v>PASS</x:v>
      </x:c>
      <x:c r="F52" s="11" t="str">
        <x:v>G05 functional review</x:v>
      </x:c>
      <x:c r="G52" s="11" t="str">
        <x:v>Conteggi e verdetti basati solo su strategie applicate.</x:v>
      </x:c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C-050</x:v>
      </x:c>
      <x:c r="B53" s="11" t="str">
        <x:v>Dopo</x:v>
      </x:c>
      <x:c r="C53" s="11" t="str">
        <x:v>R-LOCALCPU recuperata con due repliche isolate</x:v>
      </x:c>
      <x:c r="D53" s="11" t="str">
        <x:v>Sì</x:v>
      </x:c>
      <x:c r="E53" s="11" t="str">
        <x:v>PASS_CON_LIMITAZIONE</x:v>
      </x:c>
      <x:c r="F53" s="11" t="str">
        <x:v>G05 R_LOCALCPU recovery</x:v>
      </x:c>
      <x:c r="G53" s="11" t="str">
        <x:v>Offloading remoto 2/2; lungo gap finale 2/2.</x:v>
      </x:c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C-051</x:v>
      </x:c>
      <x:c r="B54" s="11" t="str">
        <x:v>Dopo</x:v>
      </x:c>
      <x:c r="C54" s="11" t="str">
        <x:v>Confronto G05 con baseline G02 normalizzato</x:v>
      </x:c>
      <x:c r="D54" s="11" t="str">
        <x:v>Sì</x:v>
      </x:c>
      <x:c r="E54" s="11" t="str">
        <x:v>PASS</x:v>
      </x:c>
      <x:c r="F54" s="11" t="str">
        <x:v>G05 thesis synthesis</x:v>
      </x:c>
      <x:c r="G54" s="11" t="str">
        <x:v>15 baseline G02; durata diversa e JAR non byte-identico dichiarati.</x:v>
      </x:c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C-052</x:v>
      </x:c>
      <x:c r="B55" s="11" t="str">
        <x:v>Dopo</x:v>
      </x:c>
      <x:c r="C55" s="11" t="str">
        <x:v>T-091/T-093/T-094 riallineati</x:v>
      </x:c>
      <x:c r="D55" s="11" t="str">
        <x:v>Sì</x:v>
      </x:c>
      <x:c r="E55" s="11" t="str">
        <x:v>PASS</x:v>
      </x:c>
      <x:c r="F55" s="11" t="str">
        <x:v>G05 residual evidence</x:v>
      </x:c>
      <x:c r="G55" s="11" t="str">
        <x:v>T-093 PASS_RECOVERED; T-091 parziale; T-094 NON_OSSERVATO.</x:v>
      </x:c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C-053</x:v>
      </x:c>
      <x:c r="B56" s="11" t="str">
        <x:v>Dopo</x:v>
      </x:c>
      <x:c r="C56" s="11" t="str">
        <x:v>Repair/fallback non sovrainterpretati</x:v>
      </x:c>
      <x:c r="D56" s="11" t="str">
        <x:v>Sì</x:v>
      </x:c>
      <x:c r="E56" s="11" t="str">
        <x:v>PASS</x:v>
      </x:c>
      <x:c r="F56" s="11" t="str">
        <x:v>G05 limitations</x:v>
      </x:c>
      <x:c r="G56" s="11" t="str">
        <x:v>Osservabilità non esposta; nessun PASS inventato.</x:v>
      </x:c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C-054</x:v>
      </x:c>
      <x:c r="B57" s="11" t="str">
        <x:v>Dopo</x:v>
      </x:c>
      <x:c r="C57" s="11" t="str">
        <x:v>G06 indicato come prossimo gruppo dopo G05</x:v>
      </x:c>
      <x:c r="D57" s="11" t="str">
        <x:v>Sì</x:v>
      </x:c>
      <x:c r="E57" s="11" t="str">
        <x:v>PASS</x:v>
      </x:c>
      <x:c r="F57" s="11" t="str">
        <x:v>Matrici post-G05</x:v>
      </x:c>
      <x:c r="G57" s="11" t="str">
        <x:v>Checkpoint storico; G06 è ora conclusa.</x:v>
      </x:c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C-055</x:v>
      </x:c>
      <x:c r="B58" s="11" t="str">
        <x:v>Dopo</x:v>
      </x:c>
      <x:c r="C58" s="11" t="str">
        <x:v>Preflight G06 completato senza simulazioni</x:v>
      </x:c>
      <x:c r="D58" s="11" t="str">
        <x:v>Sì</x:v>
      </x:c>
      <x:c r="E58" s="11" t="str">
        <x:v>PASS</x:v>
      </x:c>
      <x:c r="F58" s="11" t="str">
        <x:v>G06-A</x:v>
      </x:c>
      <x:c r="G58" s="11" t="str">
        <x:v>CFG-G-STALE pronta; G-SPARSE e G-ADAPTIVE differite.</x:v>
      </x:c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C-056</x:v>
      </x:c>
      <x:c r="B59" s="11" t="str">
        <x:v>Dopo</x:v>
      </x:c>
      <x:c r="C59" s="11" t="str">
        <x:v>G-STALE-01 eseguita una sola volta</x:v>
      </x:c>
      <x:c r="D59" s="11" t="str">
        <x:v>Sì</x:v>
      </x:c>
      <x:c r="E59" s="11" t="str">
        <x:v>PASS_CON_LIMITAZIONE</x:v>
      </x:c>
      <x:c r="F59" s="11" t="str">
        <x:v>G06-B</x:v>
      </x:c>
      <x:c r="G59" s="11" t="str">
        <x:v>33/33 risultati stale; validator canonico respinge atteso; nessun rerun MOSAIC.</x:v>
      </x:c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C-057</x:v>
      </x:c>
      <x:c r="B60" s="11" t="str">
        <x:v>Dopo</x:v>
      </x:c>
      <x:c r="C60" s="11" t="str">
        <x:v>Eccezione validator forced-stale documentata</x:v>
      </x:c>
      <x:c r="D60" s="11" t="str">
        <x:v>Sì</x:v>
      </x:c>
      <x:c r="E60" s="11" t="str">
        <x:v>PASS</x:v>
      </x:c>
      <x:c r="F60" s="11" t="str">
        <x:v>G06-B</x:v>
      </x:c>
      <x:c r="G60" s="11" t="str">
        <x:v>Unico errore strategyApplications &lt;= 0; validator canonico non modificato.</x:v>
      </x:c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C-058</x:v>
      </x:c>
      <x:c r="B61" s="11" t="str">
        <x:v>Dopo</x:v>
      </x:c>
      <x:c r="C61" s="11" t="str">
        <x:v>Catena stale verificata causalmente</x:v>
      </x:c>
      <x:c r="D61" s="11" t="str">
        <x:v>Sì</x:v>
      </x:c>
      <x:c r="E61" s="11" t="str">
        <x:v>PASS_CON_LIMITAZIONE</x:v>
      </x:c>
      <x:c r="F61" s="11" t="str">
        <x:v>G06-C</x:v>
      </x:c>
      <x:c r="G61" s="11" t="str">
        <x:v>Scarto stale dimostrato; nessuna strategia precedente per osservare keep-last.</x:v>
      </x:c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C-059</x:v>
      </x:c>
      <x:c r="B62" s="11" t="str">
        <x:v>Dopo</x:v>
      </x:c>
      <x:c r="C62" s="11" t="str">
        <x:v>Corpus temporale cross-run auditato</x:v>
      </x:c>
      <x:c r="D62" s="11" t="str">
        <x:v>Sì</x:v>
      </x:c>
      <x:c r="E62" s="11" t="str">
        <x:v>PASS</x:v>
      </x:c>
      <x:c r="F62" s="11" t="str">
        <x:v>G06-C</x:v>
      </x:c>
      <x:c r="G62" s="11" t="str">
        <x:v>72 file e 36.486 record temporali.</x:v>
      </x:c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C-060</x:v>
      </x:c>
      <x:c r="B63" s="11" t="str">
        <x:v>Dopo</x:v>
      </x:c>
      <x:c r="C63" s="11" t="str">
        <x:v>Trigger, livelli, riuso e azioni coperti</x:v>
      </x:c>
      <x:c r="D63" s="11" t="str">
        <x:v>Sì</x:v>
      </x:c>
      <x:c r="E63" s="11" t="str">
        <x:v>PASS</x:v>
      </x:c>
      <x:c r="F63" s="11" t="str">
        <x:v>G06-C</x:v>
      </x:c>
      <x:c r="G63" s="11" t="str">
        <x:v>Scheduled, quattro livelli, quattro modalità riuso e azioni valide osservati.</x:v>
      </x:c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C-061</x:v>
      </x:c>
      <x:c r="B64" s="11" t="str">
        <x:v>Dopo</x:v>
      </x:c>
      <x:c r="C64" s="11" t="str">
        <x:v>Run opzionali G06 decise senza esecuzioni inutili</x:v>
      </x:c>
      <x:c r="D64" s="11" t="str">
        <x:v>Sì</x:v>
      </x:c>
      <x:c r="E64" s="11" t="str">
        <x:v>PASS</x:v>
      </x:c>
      <x:c r="F64" s="11" t="str">
        <x:v>G06-C</x:v>
      </x:c>
      <x:c r="G64" s="11" t="str">
        <x:v>G-SPARSE non necessaria; G-ADAPTIVE opzionale non canonica.</x:v>
      </x:c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C-062</x:v>
      </x:c>
      <x:c r="B65" s="11" t="str">
        <x:v>Dopo</x:v>
      </x:c>
      <x:c r="C65" s="11" t="str">
        <x:v>G06 pronta per la chiusura formale</x:v>
      </x:c>
      <x:c r="D65" s="11" t="str">
        <x:v>Sì</x:v>
      </x:c>
      <x:c r="E65" s="11" t="str">
        <x:v>PASS</x:v>
      </x:c>
      <x:c r="F65" s="11" t="str">
        <x:v>Matrici post-G06</x:v>
      </x:c>
      <x:c r="G65" s="11" t="str">
        <x:v>Prossimo passo: audit evidenze residue, eventuali G04-R, G02B e G07.</x:v>
      </x:c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C-063</x:v>
      </x:c>
      <x:c r="B66" s="11" t="str">
        <x:v>Dopo</x:v>
      </x:c>
      <x:c r="C66" s="11" t="str">
        <x:v>Preflight G04-R completato e pubblicato</x:v>
      </x:c>
      <x:c r="D66" s="11" t="str">
        <x:v>Sì</x:v>
      </x:c>
      <x:c r="E66" s="11" t="str">
        <x:v>PASS</x:v>
      </x:c>
      <x:c r="F66" s="11" t="str">
        <x:v>G04-R Blocco 1</x:v>
      </x:c>
      <x:c r="G66" s="11" t="str">
        <x:v>Route, probe, configurazione e criteri definiti senza simulazioni.</x:v>
      </x:c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C-064</x:v>
      </x:c>
      <x:c r="B67" s="11" t="str">
        <x:v>Dopo</x:v>
      </x:c>
      <x:c r="C67" s="11" t="str">
        <x:v>Vincolo no-Java rispettato durante G04-R</x:v>
      </x:c>
      <x:c r="D67" s="11" t="str">
        <x:v>Sì</x:v>
      </x:c>
      <x:c r="E67" s="11" t="str">
        <x:v>PASS</x:v>
      </x:c>
      <x:c r="F67" s="11" t="str">
        <x:v>Diff dal freeze</x:v>
      </x:c>
      <x:c r="G67" s="11" t="str">
        <x:v>Core e runtime Java invariati; stesso JAR validato.</x:v>
      </x:c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C-065</x:v>
      </x:c>
      <x:c r="B68" s="11" t="str">
        <x:v>Dopo</x:v>
      </x:c>
      <x:c r="C68" s="11" t="str">
        <x:v>Primo tentativo harness escluso correttamente</x:v>
      </x:c>
      <x:c r="D68" s="11" t="str">
        <x:v>Sì</x:v>
      </x:c>
      <x:c r="E68" s="11" t="str">
        <x:v>PASS_CON_LIMITAZIONE</x:v>
      </x:c>
      <x:c r="F68" s="11" t="str">
        <x:v>Failure bundle G04-R</x:v>
      </x:c>
      <x:c r="G68" s="11" t="str">
        <x:v>Mismatch synthetic_005/veh_2; run non usata come evidenza funzionale.</x:v>
      </x:c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C-066</x:v>
      </x:c>
      <x:c r="B69" s="11" t="str">
        <x:v>Dopo</x:v>
      </x:c>
      <x:c r="C69" s="11" t="str">
        <x:v>Una run mirata valida G04-R completata</x:v>
      </x:c>
      <x:c r="D69" s="11" t="str">
        <x:v>Sì</x:v>
      </x:c>
      <x:c r="E69" s="11" t="str">
        <x:v>PASS</x:v>
      </x:c>
      <x:c r="F69" s="11" t="str">
        <x:v>G04-R recovery</x:v>
      </x:c>
      <x:c r="G69" s="11" t="str">
        <x:v>180 s, low_density, seed 104729, 19 task statici.</x:v>
      </x:c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C-067</x:v>
      </x:c>
      <x:c r="B70" s="11" t="str">
        <x:v>Dopo</x:v>
      </x:c>
      <x:c r="C70" s="11" t="str">
        <x:v>T-096 e T-098 recuperati causalmente</x:v>
      </x:c>
      <x:c r="D70" s="11" t="str">
        <x:v>Sì</x:v>
      </x:c>
      <x:c r="E70" s="11" t="str">
        <x:v>PASS</x:v>
      </x:c>
      <x:c r="F70" s="11" t="str">
        <x:v>Timeline + genes</x:v>
      </x:c>
      <x:c r="G70" s="11" t="str">
        <x:v>Switch a 81,8 s; decisioni remote prima, vicino e dopo.</x:v>
      </x:c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C-068</x:v>
      </x:c>
      <x:c r="B71" s="11" t="str">
        <x:v>Dopo</x:v>
      </x:c>
      <x:c r="C71" s="11" t="str">
        <x:v>Rigetto validator statico interpretato senza modificarlo</x:v>
      </x:c>
      <x:c r="D71" s="11" t="str">
        <x:v>Sì</x:v>
      </x:c>
      <x:c r="E71" s="11" t="str">
        <x:v>PASS_CON_LIMITAZIONE</x:v>
      </x:c>
      <x:c r="F71" s="11" t="str">
        <x:v>Validator G04-R</x:v>
      </x:c>
      <x:c r="G71" s="11" t="str">
        <x:v>Unico errore tasksGeneratedCumulative &lt;= 0; 19 task statici attivati.</x:v>
      </x:c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C-069</x:v>
      </x:c>
      <x:c r="B72" s="11" t="str">
        <x:v>Dopo</x:v>
      </x:c>
      <x:c r="C72" s="11" t="str">
        <x:v>G04-R pronta per chiusura formale e prima G07</x:v>
      </x:c>
      <x:c r="D72" s="11" t="str">
        <x:v>Sì</x:v>
      </x:c>
      <x:c r="E72" s="11" t="str">
        <x:v>PASS</x:v>
      </x:c>
      <x:c r="F72" s="11" t="str">
        <x:v>Matrici post-G04-R</x:v>
      </x:c>
      <x:c r="G72" s="11" t="str">
        <x:v>Prossimo passo: G07 preliminare e prima bozza del capitolo.</x:v>
      </x:c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  <x:mergeCell ref="A1:G1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a49c432e024d9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 — aggiornati dopo G04-R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documentato; H-S-EXT interrotta a 464 s.</x:v>
      </x:c>
      <x:c r="D6" s="11" t="str">
        <x:v>Mostra un limite endurance osservato.</x:v>
      </x:c>
      <x:c r="E6" s="11" t="str">
        <x:v>Che sia una configurazione stabile o che la run debba necessariamente completare.</x:v>
      </x:c>
      <x:c r="F6" s="11" t="str">
        <x:v>Separare dai profili stabili e non selezionare un rerun favorevole.</x:v>
      </x:c>
      <x:c r="G6" s="11" t="str">
        <x:v>G03 stress evidence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Ripetibilità runtime</x:v>
      </x:c>
      <x:c r="C14" s="11" t="str">
        <x:v>Workload e snapshot sono deterministici; runtime wall-clock e job asincroni variano.</x:v>
      </x:c>
      <x:c r="D14" s="11" t="str">
        <x:v>Confrontare contatori funzionali e distribuzioni runtime.</x:v>
      </x:c>
      <x:c r="E14" s="11" t="str">
        <x:v>Che tre run identiche debbano avere stesso numero di job GA/stale.</x:v>
      </x:c>
      <x:c r="F14" s="11" t="str">
        <x:v>Separare riproducibilità logica da variabilità dell’host.</x:v>
      </x:c>
      <x:c r="G14" s="11" t="str">
        <x:v>G03 runtime repeat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33" t="str">
        <x:v>L-013</x:v>
      </x:c>
      <x:c r="B16" s="334" t="str">
        <x:v>Run stress opzionale</x:v>
      </x:c>
      <x:c r="C16" s="334" t="str">
        <x:v>Può terminare prima della durata e costituire un risultato.</x:v>
      </x:c>
      <x:c r="D16" s="334" t="str">
        <x:v>Tempo raggiunto e causa possono essere riportati.</x:v>
      </x:c>
      <x:c r="E16" s="334" t="str">
        <x:v>Che l’interruzione sia un PASS o una regressione delle configurazioni stabili.</x:v>
      </x:c>
      <x:c r="F16" s="334" t="str">
        <x:v>Usare OPTIONAL_STRESS_LIMIT e conservare l’evidenza.</x:v>
      </x:c>
      <x:c r="G16" s="335" t="str">
        <x:v>G03 H-S-EXT-01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L-014</x:v>
      </x:c>
      <x:c r="B17" s="92" t="str">
        <x:v>Osservabilità gateway switch</x:v>
      </x:c>
      <x:c r="C17" s="92" t="str">
        <x:v>G04 originale: 0 transizioni; G04-R: una transizione controllata osservata.</x:v>
      </x:c>
      <x:c r="D17" s="92" t="str">
        <x:v>Si può affermare che il probe passa da rsu_0 a rsu_1 e che decisioni remote sono correlate temporalmente.</x:v>
      </x:c>
      <x:c r="E17" s="92" t="str">
        <x:v>Non si può generalizzare il comportamento a tutte le route o a tutte le run.</x:v>
      </x:c>
      <x:c r="F17" s="92" t="str">
        <x:v>T-096/T-098 PASS nel test mirato; G04 originale resta storicamente limitata.</x:v>
      </x:c>
      <x:c r="G17" s="320" t="str">
        <x:v>G04-R result/timeline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L-015</x:v>
      </x:c>
      <x:c r="B18" s="92" t="str">
        <x:v>Decisioni V2V</x:v>
      </x:c>
      <x:c r="C18" s="92" t="str">
        <x:v>Candidati e velocità relativa osservati; 0 assegnazioni VEHICLE applicate.</x:v>
      </x:c>
      <x:c r="D18" s="92" t="str">
        <x:v>Il modello scalare produce metriche finite.</x:v>
      </x:c>
      <x:c r="E18" s="92" t="str">
        <x:v>Che il MA-GA abbia scelto V2V nelle strategie applicate.</x:v>
      </x:c>
      <x:c r="F18" s="92" t="str">
        <x:v>T-093 PASS_CON_LIMITAZIONE.</x:v>
      </x:c>
      <x:c r="G18" s="320" t="str">
        <x:v>G04 observability evidence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19" t="str">
        <x:v>L-016</x:v>
      </x:c>
      <x:c r="B19" s="92" t="str">
        <x:v>Copertura insufficiente</x:v>
      </x:c>
      <x:c r="C19" s="92" t="str">
        <x:v>coverageSufficient=false non osservato nemmeno in G04-R.</x:v>
      </x:c>
      <x:c r="D19" s="92" t="str">
        <x:v>Il caso osservato mantiene copertura sufficiente durante le decisioni applicate.</x:v>
      </x:c>
      <x:c r="E19" s="92" t="str">
        <x:v>Che la penalità di copertura insufficiente sia stata attivata live.</x:v>
      </x:c>
      <x:c r="F19" s="92" t="str">
        <x:v>T-094 resta NON_OSSERVATO; nessun rerun dedicato.</x:v>
      </x:c>
      <x:c r="G19" s="320" t="str">
        <x:v>G04-R genes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321" t="str">
        <x:v>L-017</x:v>
      </x:c>
      <x:c r="B20" s="322" t="str">
        <x:v>Stale V2V</x:v>
      </x:c>
      <x:c r="C20" s="322" t="str">
        <x:v>M-V2V-01 stale ratio 48,186528%.</x:v>
      </x:c>
      <x:c r="D20" s="322" t="str">
        <x:v>È un limite operativo della coordinazione asincrona nella configurazione.</x:v>
      </x:c>
      <x:c r="E20" s="322" t="str">
        <x:v>Che sia automaticamente un errore del core MA-GA.</x:v>
      </x:c>
      <x:c r="F20" s="322" t="str">
        <x:v>Documentare con lag 0, violazioni 0 e validator PASS.</x:v>
      </x:c>
      <x:c r="G20" s="323" t="str">
        <x:v>M-V2V-01 result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L-018</x:v>
      </x:c>
      <x:c r="B21" s="11" t="str">
        <x:v>Risorse remote G05</x:v>
      </x:c>
      <x:c r="C21" s="11" t="str">
        <x:v>EDGE, CLOUD, CELL e V2V degradati ma non selezionati.</x:v>
      </x:c>
      <x:c r="D21" s="11" t="str">
        <x:v>Si può affermare che il MA-GA evita risorse meno convenienti.</x:v>
      </x:c>
      <x:c r="E21" s="11" t="str">
        <x:v>Non si può affermare che repair o saturazione siano stati esercitati.</x:v>
      </x:c>
      <x:c r="F21" s="11" t="str">
        <x:v>Usare TARGET_NOT_EXERCISED e distinguere evitamento da repair.</x:v>
      </x:c>
      <x:c r="G21" s="11" t="str">
        <x:v>G05 thesis synthesis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L-019</x:v>
      </x:c>
      <x:c r="B22" s="11" t="str">
        <x:v>R-LOCALCPU</x:v>
      </x:c>
      <x:c r="C22" s="11" t="str">
        <x:v>Tre osservazioni con offloading remoto e lungo gap finale.</x:v>
      </x:c>
      <x:c r="D22" s="11" t="str">
        <x:v>Effetto della CPU locale e limite temporale sono riproducibili.</x:v>
      </x:c>
      <x:c r="E22" s="11" t="str">
        <x:v>Che la strategia resti continua per 180 s.</x:v>
      </x:c>
      <x:c r="F22" s="11" t="str">
        <x:v>PASS_WITH_REPRODUCIBLE_TEMPORAL_LIMIT.</x:v>
      </x:c>
      <x:c r="G22" s="11" t="str">
        <x:v>G05 R_LOCALCPU recovery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L-020</x:v>
      </x:c>
      <x:c r="B23" s="11" t="str">
        <x:v>Confronto G02/G05</x:v>
      </x:c>
      <x:c r="C23" s="11" t="str">
        <x:v>Stesso core congelato; durata 300 vs 180 s; JAR con hash diverso.</x:v>
      </x:c>
      <x:c r="D23" s="11" t="str">
        <x:v>Confrontare tassi, percentuali e rapporti normalizzati.</x:v>
      </x:c>
      <x:c r="E23" s="11" t="str">
        <x:v>Che gli artefatti runtime siano byte-identici o i conteggi grezzi direttamente confrontabili.</x:v>
      </x:c>
      <x:c r="F23" s="11" t="str">
        <x:v>NORMALIZED_METRICS_AND_RATIOS_ONLY.</x:v>
      </x:c>
      <x:c r="G23" s="11" t="str">
        <x:v>G05 baseline comparison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L-021</x:v>
      </x:c>
      <x:c r="B24" s="11" t="str">
        <x:v>Repair/fallback</x:v>
      </x:c>
      <x:c r="C24" s="11" t="str">
        <x:v>Nessun contatore causale strutturato nei trace G05.</x:v>
      </x:c>
      <x:c r="D24" s="11" t="str">
        <x:v>Si possono riportare violazioni finali 0 e scelte applicate.</x:v>
      </x:c>
      <x:c r="E24" s="11" t="str">
        <x:v>Che una scelta LOCAL dimostri automaticamente fallback o repair.</x:v>
      </x:c>
      <x:c r="F24" s="11" t="str">
        <x:v>Classificare NOT_EXPOSED / EVIDENZA_PARZIALE.</x:v>
      </x:c>
      <x:c r="G24" s="11" t="str">
        <x:v>G05 functional review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L-022</x:v>
      </x:c>
      <x:c r="B25" s="11" t="str">
        <x:v>Validator forced-stale</x:v>
      </x:c>
      <x:c r="C25" s="11" t="str">
        <x:v>Il validator smoke richiede strategyApplications &gt; 0.</x:v>
      </x:c>
      <x:c r="D25" s="11" t="str">
        <x:v>Il rigetto è atteso solo se tutti i job completati sono stale e gli oracoli HARD passano.</x:v>
      </x:c>
      <x:c r="E25" s="11" t="str">
        <x:v>Che ogni validator FAILED sia accettabile.</x:v>
      </x:c>
      <x:c r="F25" s="11" t="str">
        <x:v>Usare EXPECTED_CANONICAL_VALIDATOR_REJECTION solo per CFG-G-STALE.</x:v>
      </x:c>
      <x:c r="G25" s="11" t="str">
        <x:v>G06-B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L-023</x:v>
      </x:c>
      <x:c r="B26" s="11" t="str">
        <x:v>Strategia precedente assente</x:v>
      </x:c>
      <x:c r="C26" s="11" t="str">
        <x:v>G-STALE applica 0 strategie.</x:v>
      </x:c>
      <x:c r="D26" s="11" t="str">
        <x:v>Lo scarto stale è dimostrato.</x:v>
      </x:c>
      <x:c r="E26" s="11" t="str">
        <x:v>Che keepLastAppliedStrategy sia stato esercitato.</x:v>
      </x:c>
      <x:c r="F26" s="11" t="str">
        <x:v>PASS_WITH_FORCED_STALE_AND_NO_PRIOR_STRATEGY_LIMIT.</x:v>
      </x:c>
      <x:c r="G26" s="11" t="str">
        <x:v>G06-C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L-024</x:v>
      </x:c>
      <x:c r="B27" s="11" t="str">
        <x:v>Budget token</x:v>
      </x:c>
      <x:c r="C27" s="11" t="str">
        <x:v>EXCEEDS_CURRENT_AND_NEXT non compare nelle 66 righe overrun.</x:v>
      </x:c>
      <x:c r="D27" s="11" t="str">
        <x:v>33 stale e 100% stale ratio sono osservati.</x:v>
      </x:c>
      <x:c r="E27" s="11" t="str">
        <x:v>Che il token specifico sia stato osservato.</x:v>
      </x:c>
      <x:c r="F27" s="11" t="str">
        <x:v>Dichiarare il limite di osservabilità del token.</x:v>
      </x:c>
      <x:c r="G27" s="11" t="str">
        <x:v>G06-C</x:v>
      </x:c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L-025</x:v>
      </x:c>
      <x:c r="B28" s="11" t="str">
        <x:v>Run opzionali G06</x:v>
      </x:c>
      <x:c r="C28" s="11" t="str">
        <x:v>G-SPARSE e G-ADAPTIVE non eseguite.</x:v>
      </x:c>
      <x:c r="D28" s="11" t="str">
        <x:v>I test canonici obbligatori sono coperti dal corpus cross-run.</x:v>
      </x:c>
      <x:c r="E28" s="11" t="str">
        <x:v>Che ADAPTIVE sia stato validato.</x:v>
      </x:c>
      <x:c r="F28" s="11" t="str">
        <x:v>T-121 differito opzionale; non mescolare con STATIC.</x:v>
      </x:c>
      <x:c r="G28" s="11" t="str">
        <x:v>G06-C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L-026</x:v>
      </x:c>
      <x:c r="B29" s="11" t="str">
        <x:v>Trigger critico</x:v>
      </x:c>
      <x:c r="C29" s="11" t="str">
        <x:v>CRITICAL_EVENT non esposto nel freeze live.</x:v>
      </x:c>
      <x:c r="D29" s="11" t="str">
        <x:v>T-118 può essere dichiarato non applicabile/non esposto.</x:v>
      </x:c>
      <x:c r="E29" s="11" t="str">
        <x:v>Che il trigger critico sia stato testato.</x:v>
      </x:c>
      <x:c r="F29" s="11" t="str">
        <x:v>Non forzare modifiche Java in G06.</x:v>
      </x:c>
      <x:c r="G29" s="11" t="str">
        <x:v>T-118</x:v>
      </x:c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L-027</x:v>
      </x:c>
      <x:c r="B30" s="11" t="str">
        <x:v>Validator workload statico</x:v>
      </x:c>
      <x:c r="C30" s="11" t="str">
        <x:v>Il validator canonico richiede tasksGeneratedCumulative &gt; 0; G04-R usa 19 task statici attivati.</x:v>
      </x:c>
      <x:c r="D30" s="11" t="str">
        <x:v>La run è tecnicamente valida se l’unico errore è quello atteso e gli altri oracoli hard passano.</x:v>
      </x:c>
      <x:c r="E30" s="11" t="str">
        <x:v>Che ogni validator FAILED sia accettabile.</x:v>
      </x:c>
      <x:c r="F30" s="11" t="str">
        <x:v>Usare PASS_WITH_EXPECTED_STATIC_WORKLOAD_VALIDATOR_REJECTION solo nel test mirato documentato.</x:v>
      </x:c>
      <x:c r="G30" s="11" t="str">
        <x:v>G04-R validator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L-028</x:v>
      </x:c>
      <x:c r="B31" s="11" t="str">
        <x:v>Mapping identità probe</x:v>
      </x:c>
      <x:c r="C31" s="11" t="str">
        <x:v>Gli ID SUMO synthetic_* sono rimappati in veh_* nel runtime MOSAIC.</x:v>
      </x:c>
      <x:c r="D31" s="11" t="str">
        <x:v>Il mapping può essere ricostruito e verificato prima dell’analisi.</x:v>
      </x:c>
      <x:c r="E31" s="11" t="str">
        <x:v>Che synthetic_005 e veh_2 siano equivalenti senza prova.</x:v>
      </x:c>
      <x:c r="F31" s="11" t="str">
        <x:v>Conservare sourceRouteVehicleId e runtimeVehicleId nei report.</x:v>
      </x:c>
      <x:c r="G31" s="11" t="str">
        <x:v>G04-R execution audit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c2640b13f3d4401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e aggiornare la matrice fino a G04-R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S-09</x:v>
      </x:c>
      <x:c r="B12" s="11" t="str">
        <x:v>Bundle diagnostico G03</x:v>
      </x:c>
      <x:c r="C12" s="11" t="str">
        <x:v>ZIP</x:v>
      </x:c>
      <x:c r="D12" s="11" t="str">
        <x:v>Otto run PASS e fallimento stress H-S-EXT.</x:v>
      </x:c>
      <x:c r="E12" s="11" t="str">
        <x:v>G03_failure_diagnostic_20260623-175907.zip</x:v>
      </x:c>
      <x:c r="F12" s="11" t="str">
        <x:v>SHA-256 a5300193…63114.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S-10</x:v>
      </x:c>
      <x:c r="B13" s="11" t="str">
        <x:v>Evidenze finali G03</x:v>
      </x:c>
      <x:c r="C13" s="11" t="str">
        <x:v>JSON/CSV/MD</x:v>
      </x:c>
      <x:c r="D13" s="11" t="str">
        <x:v>Determinismo, runtime repeat, extended duration e stress limit.</x:v>
      </x:c>
      <x:c r="E13" s="11" t="str">
        <x:v>test-results/test-audits G03</x:v>
      </x:c>
      <x:c r="F13" s="11" t="str">
        <x:v>Fonte primaria per lo stato G03.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333" t="str">
        <x:v>S-11</x:v>
      </x:c>
      <x:c r="B14" s="334" t="str">
        <x:v>Decisione sequenza G02B</x:v>
      </x:c>
      <x:c r="C14" s="334" t="str">
        <x:v>Decisione utente</x:v>
      </x:c>
      <x:c r="D14" s="334" t="str">
        <x:v>G02B pianificata dopo audit residui ed eventuali G04-R, prima di G07.</x:v>
      </x:c>
      <x:c r="E14" s="334" t="str">
        <x:v>Contesto progetto 2026-06-23</x:v>
      </x:c>
      <x:c r="F14" s="335" t="str">
        <x:v>Modifiche core minime da discutere prima dell’implementazione.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319" t="str">
        <x:v>S-12</x:v>
      </x:c>
      <x:c r="B15" s="92" t="str">
        <x:v>Bundle tecnico G04</x:v>
      </x:c>
      <x:c r="C15" s="92" t="str">
        <x:v>ZIP</x:v>
      </x:c>
      <x:c r="D15" s="92" t="str">
        <x:v>Cinque run, result JSON e report tecnici.</x:v>
      </x:c>
      <x:c r="E15" s="92" t="str">
        <x:v>G04_evidence_collection_PASS_20260623-222722.zip</x:v>
      </x:c>
      <x:c r="F15" s="320" t="str">
        <x:v>SHA-256 b175f528…64f4d5.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19" t="str">
        <x:v>S-13</x:v>
      </x:c>
      <x:c r="B16" s="92" t="str">
        <x:v>Bundle offline corretto G04</x:v>
      </x:c>
      <x:c r="C16" s="92" t="str">
        <x:v>ZIP</x:v>
      </x:c>
      <x:c r="D16" s="92" t="str">
        <x:v>Raccolta autorevole per audit e metriche corrette.</x:v>
      </x:c>
      <x:c r="E16" s="92" t="str">
        <x:v>G04_full_offline_audit_evidence_20260623-224200.zip</x:v>
      </x:c>
      <x:c r="F16" s="320" t="str">
        <x:v>SHA-256 3c4de2c7…c16d75.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S-14</x:v>
      </x:c>
      <x:c r="B17" s="92" t="str">
        <x:v>Definizioni T-090–T-099</x:v>
      </x:c>
      <x:c r="C17" s="92" t="str">
        <x:v>CSV</x:v>
      </x:c>
      <x:c r="D17" s="92" t="str">
        <x:v>Criteri operativi dei test mobility-aware.</x:v>
      </x:c>
      <x:c r="E17" s="92" t="str">
        <x:v>T090_T099_DEFINIZIONI.csv</x:v>
      </x:c>
      <x:c r="F17" s="320" t="str">
        <x:v>Fonte criteri.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S-15</x:v>
      </x:c>
      <x:c r="B18" s="92" t="str">
        <x:v>Risultati formali G04</x:v>
      </x:c>
      <x:c r="C18" s="92" t="str">
        <x:v>CSV/MD</x:v>
      </x:c>
      <x:c r="D18" s="92" t="str">
        <x:v>Verdetti, motivazioni, limiti e report umano.</x:v>
      </x:c>
      <x:c r="E18" s="92" t="str">
        <x:v>T090_T099_results.csv; audit_G04_mobility_connectivity.md</x:v>
      </x:c>
      <x:c r="F18" s="320" t="str">
        <x:v>Fonte closure.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21" t="str">
        <x:v>S-16</x:v>
      </x:c>
      <x:c r="B19" s="322" t="str">
        <x:v>Result JSON autorevoli G04</x:v>
      </x:c>
      <x:c r="C19" s="322" t="str">
        <x:v>JSON</x:v>
      </x:c>
      <x:c r="D19" s="322" t="str">
        <x:v>Metriche e stato delle cinque run.</x:v>
      </x:c>
      <x:c r="E19" s="322" t="str">
        <x:v>run-summaries/G04_M-*_result.json</x:v>
      </x:c>
      <x:c r="F19" s="323" t="str">
        <x:v>taskCompletionModel NOT_IMPLEMENTED; SUMO metrics null.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F-020</x:v>
      </x:c>
      <x:c r="B20" s="11" t="str">
        <x:v>G06_preflight_REVIEWED_20260624-172152.zip</x:v>
      </x:c>
      <x:c r="C20" s="11" t="str">
        <x:v>G06-A</x:v>
      </x:c>
      <x:c r="D20" s="11" t="str">
        <x:v>Preflight configurazioni ed evidenze temporali</x:v>
      </x:c>
      <x:c r="E20" s="11" t="str">
        <x:v>Verifica readiness senza simulazioni</x:v>
      </x:c>
      <x:c r="F20" s="11" t="str">
        <x:v>008b25db...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F-021</x:v>
      </x:c>
      <x:c r="B21" s="11" t="str">
        <x:v>G06_G_STALE_execution_20260624-180604.zip</x:v>
      </x:c>
      <x:c r="C21" s="11" t="str">
        <x:v>G06-B</x:v>
      </x:c>
      <x:c r="D21" s="11" t="str">
        <x:v>Run forced-stale e post-processing recuperato</x:v>
      </x:c>
      <x:c r="E21" s="11" t="str">
        <x:v>Validator canonico conservato</x:v>
      </x:c>
      <x:c r="F21" s="11" t="str">
        <x:v>542a3d28...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F-022</x:v>
      </x:c>
      <x:c r="B22" s="11" t="str">
        <x:v>G06_causal_audit_REVIEWED_20260624-181047.zip</x:v>
      </x:c>
      <x:c r="C22" s="11" t="str">
        <x:v>G06-C</x:v>
      </x:c>
      <x:c r="D22" s="11" t="str">
        <x:v>Audit causale e corpus cross-run</x:v>
      </x:c>
      <x:c r="E22" s="11" t="str">
        <x:v>Verdetti T-110–T-121</x:v>
      </x:c>
      <x:c r="F22" s="11" t="str">
        <x:v>c2b3d152...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F-023</x:v>
      </x:c>
      <x:c r="B23" s="11" t="str">
        <x:v>G04_R0_preflight_DISCUSSION_REQUIRED_20260624-225957.zip</x:v>
      </x:c>
      <x:c r="C23" s="11" t="str">
        <x:v>G04-R Blocco 1</x:v>
      </x:c>
      <x:c r="D23" s="11" t="str">
        <x:v>Preflight route, reporting e configurazione</x:v>
      </x:c>
      <x:c r="E23" s="11" t="str">
        <x:v>Commit 9f7a87273379daaa4a13c1deff8cfcff504766c8</x:v>
      </x:c>
      <x:c r="F23" s="11" t="str">
        <x:v>8d5e8c73...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F-024</x:v>
      </x:c>
      <x:c r="B24" s="11" t="str">
        <x:v>G04_R_Block2_FAILURE_20260624-232729.zip</x:v>
      </x:c>
      <x:c r="C24" s="11" t="str">
        <x:v>G04-R harness</x:v>
      </x:c>
      <x:c r="D24" s="11" t="str">
        <x:v>Primo tentativo escluso per mismatch identificativo probe</x:v>
      </x:c>
      <x:c r="E24" s="11" t="str">
        <x:v>Nessuna evidenza funzionale usata</x:v>
      </x:c>
      <x:c r="F24" s="11" t="str">
        <x:v>e37ade28...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F-025</x:v>
      </x:c>
      <x:c r="B25" s="11" t="str">
        <x:v>G04_R_Block2_RECOVERY_EXECUTED_PASS_20260624-233643.zip</x:v>
      </x:c>
      <x:c r="C25" s="11" t="str">
        <x:v>G04-R Blocco 2</x:v>
      </x:c>
      <x:c r="D25" s="11" t="str">
        <x:v>Run mirata valida, timeline e geni probe</x:v>
      </x:c>
      <x:c r="E25" s="11" t="str">
        <x:v>Commit 5feafbd1942f1f09a809b0941596992fcd67a14a</x:v>
      </x:c>
      <x:c r="F25" s="11" t="str">
        <x:v>513bc60a...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F-026</x:v>
      </x:c>
      <x:c r="B26" s="11" t="str">
        <x:v>G04_R_01_result.json / probe_timeline.csv / probe_genes.csv</x:v>
      </x:c>
      <x:c r="C26" s="11" t="str">
        <x:v>G04-R risultati</x:v>
      </x:c>
      <x:c r="D26" s="11" t="str">
        <x:v>Verdetti T-091/T-094/T-096/T-098 e correlazione causale</x:v>
      </x:c>
      <x:c r="E26" s="11" t="str">
        <x:v>test-results/final-campaign/G04_R_controlled_mobility</x:v>
      </x:c>
      <x:c r="F26" s="11" t="str">
        <x:v>Fonte primaria closure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d607c27e516344d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  <x:col min="6" max="6" width="24" hidden="0" customWidth="1"/>
    <x:col min="7" max="7" width="40" hidden="0" customWidth="1"/>
    <x:col min="8" max="8" width="42" hidden="0" customWidth="1"/>
  </x:cols>
  <x:sheetData>
    <x:row r="1" ht="28" customHeight="1">
      <x:c r="A1" s="80" t="str">
        <x:v>Risultati storici dimostrati — fotografia G00/G01 con aggiornamenti G02–G06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Stato successivo</x:v>
      </x:c>
      <x:c r="B10" s="93" t="str">
        <x:v>G02 45/45 PASS; G03 limite stress; G04 osservabilità; G05 limiti risorsa/tempo; G06 stale controllato</x:v>
      </x:c>
      <x:c r="C10" s="93" t="str">
        <x:v>La riga mantiene il contesto storico e riporta lo stato corrente.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T-001; T-010; T-011; T-014; T-015; T-017; T-020; T-021</x:v>
      </x:c>
      <x:c r="C23" s="93" t="str">
        <x:v>Controlli primari dimostrati da G00/G01/G03.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282" t="str">
        <x:v>PASS_CON_LIMITE_STRESS</x:v>
      </x:c>
      <x:c r="B25" s="282" t="str">
        <x:v>T-018</x:v>
      </x:c>
      <x:c r="C25" s="282" t="str">
        <x:v>5/5 nominal extended PASS; H-S-EXT opzionale interrotta a 464 s e documentata.</x:v>
      </x:c>
    </x:row>
    <x:row r="26">
      <x:c r="A26" t="str">
        <x:v>EVIDENZA_PARZIALE</x:v>
      </x:c>
      <x:c r="B26" t="str">
        <x:v>T-012; T-013; T-031; T-032; T-043; T-044; T-045; T-050; T-051; T-052; T-055; T-119; T-120; T-130; T-131; T-132; T-133; T-135</x:v>
      </x:c>
      <x:c r="C26" t="str">
        <x:v>Responsabilità primaria nei gruppi successivi o audit non ancora completi.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55" t="str">
        <x:v>Aggiornamento successivo: chiusure G02/G03 e pianificazione G02B</x:v>
      </x:c>
      <x:c r="B52" s="55"/>
      <x:c r="C52" s="55"/>
      <x:c r="D52" s="55"/>
      <x:c r="E52" s="55"/>
      <x:c r="F52" s="55"/>
      <x:c r="G52" s="55"/>
      <x:c r="H52" s="55"/>
    </x:row>
    <x:row r="53">
      <x:c r="A53" s="230" t="str">
        <x:v>Elemento</x:v>
      </x:c>
      <x:c r="B53" s="230" t="str">
        <x:v>Ambito</x:v>
      </x:c>
      <x:c r="C53" s="230" t="str">
        <x:v>Seed</x:v>
      </x:c>
      <x:c r="D53" s="230" t="str">
        <x:v>Stato attuale</x:v>
      </x:c>
      <x:c r="E53" s="230" t="str">
        <x:v>Vincolo</x:v>
      </x:c>
      <x:c r="F53" s="230" t="str">
        <x:v>Conclusione</x:v>
      </x:c>
      <x:c r="G53" s="10"/>
      <x:c r="H53" s="10"/>
    </x:row>
    <x:row r="54">
      <x:c r="A54" s="232" t="str">
        <x:v>G02 principale</x:v>
      </x:c>
      <x:c r="B54" s="232" t="str">
        <x:v>9 configurazioni × 5 seed = 45 run</x:v>
      </x:c>
      <x:c r="C54" s="232" t="str">
        <x:v>5 ufficiali</x:v>
      </x:c>
      <x:c r="D54" s="232" t="str">
        <x:v>PASS_45_OF_45</x:v>
      </x:c>
      <x:c r="E54" s="232" t="str">
        <x:v>Core invariato</x:v>
      </x:c>
      <x:c r="F54" s="232" t="str">
        <x:v>Campagna principale completata.</x:v>
      </x:c>
      <x:c r="G54" s="10"/>
      <x:c r="H54" s="10"/>
    </x:row>
    <x:row r="55">
      <x:c r="A55" s="226" t="str">
        <x:v>G02B-LOCAL</x:v>
      </x:c>
      <x:c r="B55" s="226" t="str">
        <x:v>MA-GA completo vs LOCAL-only</x:v>
      </x:c>
      <x:c r="C55" s="226" t="str">
        <x:v>5 ufficiali</x:v>
      </x:c>
      <x:c r="D55" s="226" t="str">
        <x:v>NOT_EXPOSED</x:v>
      </x:c>
      <x:c r="E55" s="226" t="str">
        <x:v>Branch sperimentale dopo audit residui</x:v>
      </x:c>
      <x:c r="F55" s="226" t="str">
        <x:v>LOCAL-only resta nell’ablation study finale.</x:v>
      </x:c>
      <x:c r="G55" s="10"/>
      <x:c r="H55" s="10"/>
    </x:row>
    <x:row r="56">
      <x:c r="A56" s="226" t="str">
        <x:v>G02B-MOBILITY</x:v>
      </x:c>
      <x:c r="B56" s="226" t="str">
        <x:v>MA-GA completo vs penalità mobility-aware disattivata</x:v>
      </x:c>
      <x:c r="C56" s="226" t="str">
        <x:v>5 ufficiali</x:v>
      </x:c>
      <x:c r="D56" s="226" t="str">
        <x:v>CORE_PRESENT_CONFIG_NOT_EXPOSED</x:v>
      </x:c>
      <x:c r="E56" s="226" t="str">
        <x:v>Branch sperimentale dopo audit residui</x:v>
      </x:c>
      <x:c r="F56" s="226" t="str">
        <x:v>Switch minimo da progettare prima dell’implementazione.</x:v>
      </x:c>
      <x:c r="G56" s="10"/>
      <x:c r="H56" s="10"/>
    </x:row>
    <x:row r="57">
      <x:c r="A57" s="226" t="str">
        <x:v>G02B-REUSE</x:v>
      </x:c>
      <x:c r="B57" s="226" t="str">
        <x:v>Cold start vs population reuse</x:v>
      </x:c>
      <x:c r="C57" s="226" t="str">
        <x:v>5 ufficiali</x:v>
      </x:c>
      <x:c r="D57" s="226" t="str">
        <x:v>CORE_PRESENT_CONFIG_NOT_EXPOSED</x:v>
      </x:c>
      <x:c r="E57" s="226" t="str">
        <x:v>Branch sperimentale dopo audit residui</x:v>
      </x:c>
      <x:c r="F57" s="226" t="str">
        <x:v>Switch minimo per disattivare il population reuse.</x:v>
      </x:c>
      <x:c r="G57" s="10"/>
      <x:c r="H57" s="10"/>
    </x:row>
    <x:row r="58">
      <x:c r="A58" s="226" t="str">
        <x:v>G02B-OPTIONAL</x:v>
      </x:c>
      <x:c r="B58" s="226" t="str">
        <x:v>Random-feasible o greedy</x:v>
      </x:c>
      <x:c r="C58" s="226" t="str">
        <x:v>5 ufficiali</x:v>
      </x:c>
      <x:c r="D58" s="226" t="str">
        <x:v>NO_EVIDENCE_OPTIONAL</x:v>
      </x:c>
      <x:c r="E58" s="226" t="str">
        <x:v>Non obbligatoria</x:v>
      </x:c>
      <x:c r="F58" s="226" t="str">
        <x:v>Valutare solo dopo le tre ablation principali.</x:v>
      </x:c>
      <x:c r="G58" s="10"/>
      <x:c r="H58" s="10"/>
    </x:row>
    <x:row r="59">
      <x:c r="A59" s="282" t="str">
        <x:v>G03</x:v>
      </x:c>
      <x:c r="B59" s="282" t="str">
        <x:v>Riproducibilità e durata</x:v>
      </x:c>
      <x:c r="C59" s="282" t="str">
        <x:v>Come da piano</x:v>
      </x:c>
      <x:c r="D59" s="282" t="str">
        <x:v>PASS_CON_LIMITE_STRESS</x:v>
      </x:c>
      <x:c r="E59" s="282" t="str">
        <x:v>10 azioni PASS; 1 stress opzionale interrotto</x:v>
      </x:c>
      <x:c r="F59" s="282" t="str">
        <x:v>T-010/T-014 PASS; T-018 PASS con limite H-S-EXT a 464 s.</x:v>
      </x:c>
      <x:c r="G59" s="10"/>
      <x:c r="H59" s="10"/>
    </x:row>
    <x:row r="60">
      <x:c r="A60" s="93" t="str">
        <x:v>G04</x:v>
      </x:c>
      <x:c r="B60" s="93" t="str">
        <x:v>Mobilità e connettività</x:v>
      </x:c>
      <x:c r="C60" s="93" t="str">
        <x:v>104729</x:v>
      </x:c>
      <x:c r="D60" s="341" t="str">
        <x:v>PASS_WITH_OBSERVABILITY_LIMITS</x:v>
      </x:c>
      <x:c r="E60" s="93" t="str">
        <x:v>5/5 run tecniche PASS; 10 test valutati</x:v>
      </x:c>
      <x:c r="F60" s="93" t="str">
        <x:v>T-094 e T-098 NON_OSSERVATO; 0 FAIL.</x:v>
      </x:c>
      <x:c r="G60" s="10"/>
      <x:c r="H60" s="10"/>
    </x:row>
    <x:row r="61">
      <x:c r="A61" s="93" t="str">
        <x:v>G05</x:v>
      </x:c>
      <x:c r="B61" s="93" t="str">
        <x:v>Risorse e repair</x:v>
      </x:c>
      <x:c r="C61" s="93" t="str">
        <x:v>104729</x:v>
      </x:c>
      <x:c r="D61" s="343" t="str">
        <x:v>PASS_WITH_RESOURCE_AND_TEMPORAL_LIMITS</x:v>
      </x:c>
      <x:c r="E61" s="93" t="str">
        <x:v>6/6 run tecniche + 2 recovery LOCALCPU</x:v>
      </x:c>
      <x:c r="F61" s="93" t="str">
        <x:v>T-093 recuperato; T-091 parziale; T-094 non osservato; repair/fallback non esposti.</x:v>
      </x:c>
      <x:c r="G61" s="10"/>
      <x:c r="H61" s="10"/>
    </x:row>
    <x:row r="62">
      <x:c r="A62" s="93" t="str">
        <x:v>G06</x:v>
      </x:c>
      <x:c r="B62" s="93" t="str">
        <x:v>Runtime e policy temporali</x:v>
      </x:c>
      <x:c r="C62" s="93" t="str">
        <x:v>104729</x:v>
      </x:c>
      <x:c r="D62" s="343" t="str">
        <x:v>PASS_WITH_CONTROLLED_STALE_AND_DOCUMENTED_LIMITS</x:v>
      </x:c>
      <x:c r="E62" s="93" t="str">
        <x:v>1 run forced-stale + audit cross-run</x:v>
      </x:c>
      <x:c r="F62" s="93" t="str">
        <x:v>T-110–T-117, T-119, T-120 coperti; T-118 N/A; T-121 opzionale.</x:v>
      </x:c>
      <x:c r="G62" s="10"/>
      <x:c r="H62" s="10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343" t="str">
        <x:v>DA_ESEGUIRE</x:v>
      </x:c>
      <x:c r="E63" s="93" t="str">
        <x:v>Dopo G02B</x:v>
      </x:c>
      <x:c r="F63" s="93" t="str">
        <x:v>Integra G00–G06, eventuali G04-R e ablation G02B.</x:v>
      </x:c>
      <x:c r="G63" s="10"/>
      <x:c r="H63" s="10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51" t="str">
        <x:v>Checkpoint storico G02 e avanzamento G03/G04 — nome del foglio mantenuto per compatibilità</x:v>
      </x:c>
      <x:c r="B1" s="151"/>
      <x:c r="C1" s="151"/>
      <x:c r="D1" s="151"/>
      <x:c r="E1" s="123"/>
      <x:c r="F1" s="123"/>
      <x:c r="G1" s="123"/>
      <x:c r="H1" s="123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63" t="str">
        <x:v>Stato della repository, delle chiusure G02/G03 e della pianificazione G02B</x:v>
      </x:c>
      <x:c r="B3" s="163"/>
      <x:c r="C3" s="163"/>
      <x:c r="D3" s="163"/>
      <x:c r="E3" s="124"/>
      <x:c r="F3" s="124"/>
      <x:c r="G3" s="124"/>
      <x:c r="H3" s="124"/>
    </x:row>
    <x:row r="4">
      <x:c r="A4" s="62" t="str">
        <x:v>Voce</x:v>
      </x:c>
      <x:c r="B4" s="62" t="str">
        <x:v>Valore</x:v>
      </x:c>
      <x:c r="C4" s="62" t="str">
        <x:v>Esito / nota</x:v>
      </x:c>
      <x:c r="D4" s="11"/>
      <x:c r="E4" s="11"/>
      <x:c r="F4" s="11"/>
      <x:c r="G4" s="11"/>
      <x:c r="H4" s="11"/>
    </x:row>
    <x:row r="5">
      <x:c r="A5" s="11" t="str">
        <x:v>Branch operativo</x:v>
      </x:c>
      <x:c r="B5" s="11" t="str">
        <x:v>testing/final-campaign</x:v>
      </x:c>
      <x:c r="C5" s="11" t="str">
        <x:v>PASS</x:v>
      </x:c>
      <x:c r="D5" s="11"/>
      <x:c r="E5" s="11"/>
      <x:c r="F5" s="11"/>
      <x:c r="G5" s="11"/>
      <x:c r="H5" s="11"/>
    </x:row>
    <x:row r="6">
      <x:c r="A6" s="11" t="str">
        <x:v>HEAD di partenza G03</x:v>
      </x:c>
      <x:c r="B6" s="11" t="str">
        <x:v>0d9fa715bb00f2acac533fc061b6bf0879445333</x:v>
      </x:c>
      <x:c r="C6" s="11" t="str">
        <x:v>Chiusura formale G02, locale e remoto allineati</x:v>
      </x:c>
      <x:c r="D6" s="11"/>
      <x:c r="E6" s="11"/>
      <x:c r="F6" s="11"/>
      <x:c r="G6" s="11"/>
      <x:c r="H6" s="11"/>
    </x:row>
    <x:row r="7">
      <x:c r="A7" s="11" t="str">
        <x:v>Core scientifico congelato</x:v>
      </x:c>
      <x:c r="B7" s="11" t="str">
        <x:v>5a9477735a3d707a5f000a64653cd2a6fc7f2007</x:v>
      </x:c>
      <x:c r="C7" s="11" t="str">
        <x:v>Nessuna modifica Java/core</x:v>
      </x:c>
      <x:c r="D7" s="11"/>
      <x:c r="E7" s="11"/>
      <x:c r="F7" s="11"/>
      <x:c r="G7" s="11"/>
      <x:c r="H7" s="11"/>
    </x:row>
    <x:row r="8">
      <x:c r="A8" s="11" t="str">
        <x:v>Working tree prima di G03</x:v>
      </x:c>
      <x:c r="B8" s="11" t="str">
        <x:v>Pulito</x:v>
      </x:c>
      <x:c r="C8" s="11" t="str">
        <x:v>Nessuna modifica Java/core</x:v>
      </x:c>
      <x:c r="D8" s="11"/>
      <x:c r="E8" s="11"/>
      <x:c r="F8" s="11"/>
      <x:c r="G8" s="11"/>
      <x:c r="H8" s="11"/>
    </x:row>
    <x:row r="9">
      <x:c r="A9" s="11" t="str">
        <x:v>Cleanup pre-G02</x:v>
      </x:c>
      <x:c r="B9" s="11" t="str">
        <x:v>PASS</x:v>
      </x:c>
      <x:c r="C9" s="11" t="str">
        <x:v>Archivio: tmp/archive/pre-G02-cleanup-20260622-180958</x:v>
      </x:c>
      <x:c r="D9" s="11"/>
      <x:c r="E9" s="11"/>
      <x:c r="F9" s="11"/>
      <x:c r="G9" s="11"/>
      <x:c r="H9" s="11"/>
    </x:row>
    <x:row r="10">
      <x:c r="A10" s="11" t="str">
        <x:v>Pipeline post-pulizia</x:v>
      </x:c>
      <x:c r="B10" s="11" t="str">
        <x:v>PASS</x:v>
      </x:c>
      <x:c r="C10" s="11" t="str">
        <x:v>Checkpoint tecnico separato da G02</x:v>
      </x:c>
      <x:c r="D10" s="11"/>
      <x:c r="E10" s="11"/>
      <x:c r="F10" s="11"/>
      <x:c r="G10" s="11"/>
      <x:c r="H10" s="11"/>
    </x:row>
    <x:row r="11">
      <x:c r="A11" s="11" t="str">
        <x:v>G02 principale</x:v>
      </x:c>
      <x:c r="B11" s="11" t="str">
        <x:v>45 / 45 run</x:v>
      </x:c>
      <x:c r="C11" s="11" t="str">
        <x:v>Nove configurazioni completate: 5/5 PASS ciascuna</x:v>
      </x:c>
      <x:c r="D11" s="11"/>
      <x:c r="E11" s="11"/>
      <x:c r="F11" s="11"/>
      <x:c r="G11" s="11"/>
      <x:c r="H11" s="11"/>
    </x:row>
    <x:row r="12">
      <x:c r="A12" s="215" t="str">
        <x:v>G02B</x:v>
      </x:c>
      <x:c r="B12" s="215" t="str">
        <x:v>PLANNED_AFTER_RESIDUAL_AUDIT</x:v>
      </x:c>
      <x:c r="C12" s="215" t="str">
        <x:v>Ablation study finale su branch sperimentale, prima di G07</x:v>
      </x:c>
      <x:c r="D12" s="215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35" t="str">
        <x:v>Pipeline completa post-pulizia</x:v>
      </x:c>
      <x:c r="B15" s="135"/>
      <x:c r="C15" s="135"/>
      <x:c r="D15" s="135"/>
      <x:c r="E15" s="124"/>
      <x:c r="F15" s="124"/>
      <x:c r="G15" s="124"/>
      <x:c r="H15" s="124"/>
    </x:row>
    <x:row r="16">
      <x:c r="A16" s="62" t="str">
        <x:v>Campo</x:v>
      </x:c>
      <x:c r="B16" s="62" t="str">
        <x:v>Valore</x:v>
      </x:c>
      <x:c r="C16" s="62" t="str">
        <x:v>Unità</x:v>
      </x:c>
      <x:c r="D16" s="62" t="str">
        <x:v>Nota</x:v>
      </x:c>
      <x:c r="E16" s="11"/>
      <x:c r="F16" s="11"/>
      <x:c r="G16" s="11"/>
      <x:c r="H16" s="11"/>
    </x:row>
    <x:row r="17">
      <x:c r="A17" s="11" t="str">
        <x:v>Run</x:v>
      </x:c>
      <x:c r="B17" s="11" t="str">
        <x:v>log-20260622-234728-MaGaLiteratureBasedUrbanStudy</x:v>
      </x:c>
      <x:c r="C17" s="11" t="str">
        <x:v>—</x:v>
      </x:c>
      <x:c r="D17" s="11" t="str">
        <x:v>POST_CLEANUP_TECHNICAL_CHECKPOINT_NOT_G02</x:v>
      </x:c>
      <x:c r="E17" s="11"/>
      <x:c r="F17" s="11"/>
      <x:c r="G17" s="11"/>
      <x:c r="H17" s="11"/>
    </x:row>
    <x:row r="18">
      <x:c r="A18" s="11" t="str">
        <x:v>Validator</x:v>
      </x:c>
      <x:c r="B18" s="11" t="str">
        <x:v>LITERATURE_SMOKE_TEST_PASSED</x:v>
      </x:c>
      <x:c r="C18" s="11" t="str">
        <x:v>—</x:v>
      </x:c>
      <x:c r="D18" s="11" t="str">
        <x:v>Errori validator: 0</x:v>
      </x:c>
      <x:c r="E18" s="11"/>
      <x:c r="F18" s="11"/>
      <x:c r="G18" s="11"/>
      <x:c r="H18" s="11"/>
    </x:row>
    <x:row r="19">
      <x:c r="A19" s="11" t="str">
        <x:v>Materializzazione</x:v>
      </x:c>
      <x:c r="B19" s="11" t="str">
        <x:v>VALID_MATERIALIZED_SCENARIO</x:v>
      </x:c>
      <x:c r="C19" s="11" t="str">
        <x:v>—</x:v>
      </x:c>
      <x:c r="D19" s="11" t="str">
        <x:v>CFG-SMOKE, seed 104729, durata 180 s</x:v>
      </x:c>
      <x:c r="E19" s="11"/>
      <x:c r="F19" s="11"/>
      <x:c r="G19" s="11"/>
      <x:c r="H19" s="11"/>
    </x:row>
    <x:row r="20">
      <x:c r="A20" s="11" t="str">
        <x:v>JAR runtime SHA-256</x:v>
      </x:c>
      <x:c r="B20" s="11" t="str">
        <x:v>1a0aa6d2b0441f0be38baf5df1acc2d4d889b9f356b6111f7715105cd013a9b4</x:v>
      </x:c>
      <x:c r="C20" s="11" t="str">
        <x:v>—</x:v>
      </x:c>
      <x:c r="D20" s="11" t="str">
        <x:v>RECOVERED_VALIDATED_ARTIFACT</x:v>
      </x:c>
      <x:c r="E20" s="11"/>
      <x:c r="F20" s="11"/>
      <x:c r="G20" s="11"/>
      <x:c r="H20" s="11"/>
    </x:row>
    <x:row r="21">
      <x:c r="A21" s="11" t="str">
        <x:v>Task generati</x:v>
      </x:c>
      <x:c r="B21" s="11" t="n">
        <x:v>101</x:v>
      </x:c>
      <x:c r="C21" s="11" t="str">
        <x:v>task</x:v>
      </x:c>
      <x:c r="D21" s="11" t="str">
        <x:v>Task completion model non implementato</x:v>
      </x:c>
      <x:c r="E21" s="11"/>
      <x:c r="F21" s="11"/>
      <x:c r="G21" s="11"/>
      <x:c r="H21" s="11"/>
    </x:row>
    <x:row r="22">
      <x:c r="A22" s="11" t="str">
        <x:v>Task attivati</x:v>
      </x:c>
      <x:c r="B22" s="11" t="n">
        <x:v>101</x:v>
      </x:c>
      <x:c r="C22" s="11" t="str">
        <x:v>task</x:v>
      </x:c>
      <x:c r="D22" s="11" t="str"/>
      <x:c r="E22" s="11"/>
      <x:c r="F22" s="11"/>
      <x:c r="G22" s="11"/>
      <x:c r="H22" s="11"/>
    </x:row>
    <x:row r="23">
      <x:c r="A23" s="11" t="str">
        <x:v>Task rimossi alla deadline</x:v>
      </x:c>
      <x:c r="B23" s="11" t="n">
        <x:v>101</x:v>
      </x:c>
      <x:c r="C23" s="11" t="str">
        <x:v>task</x:v>
      </x:c>
      <x:c r="D23" s="11" t="str">
        <x:v>Non equivale a task completion</x:v>
      </x:c>
      <x:c r="E23" s="11"/>
      <x:c r="F23" s="11"/>
      <x:c r="G23" s="11"/>
      <x:c r="H23" s="11"/>
    </x:row>
    <x:row r="24">
      <x:c r="A24" s="11" t="str">
        <x:v>Task pendenti finali</x:v>
      </x:c>
      <x:c r="B24" s="11" t="n">
        <x:v>0</x:v>
      </x:c>
      <x:c r="C24" s="11" t="str">
        <x:v>task</x:v>
      </x:c>
      <x:c r="D24" s="11" t="str"/>
      <x:c r="E24" s="11"/>
      <x:c r="F24" s="11"/>
      <x:c r="G24" s="11"/>
      <x:c r="H24" s="11"/>
    </x:row>
    <x:row r="25">
      <x:c r="A25" s="11" t="str">
        <x:v>GA submitted</x:v>
      </x:c>
      <x:c r="B25" s="11" t="n">
        <x:v>236</x:v>
      </x:c>
      <x:c r="C25" s="11" t="str">
        <x:v>job</x:v>
      </x:c>
      <x:c r="D25" s="11" t="str"/>
      <x:c r="E25" s="11"/>
      <x:c r="F25" s="11"/>
      <x:c r="G25" s="11"/>
      <x:c r="H25" s="11"/>
    </x:row>
    <x:row r="26">
      <x:c r="A26" s="11" t="str">
        <x:v>GA completed</x:v>
      </x:c>
      <x:c r="B26" s="11" t="n">
        <x:v>236</x:v>
      </x:c>
      <x:c r="C26" s="11" t="str">
        <x:v>job</x:v>
      </x:c>
      <x:c r="D26" s="11" t="str"/>
      <x:c r="E26" s="11"/>
      <x:c r="F26" s="11"/>
      <x:c r="G26" s="11"/>
      <x:c r="H26" s="11"/>
    </x:row>
    <x:row r="27">
      <x:c r="A27" s="11" t="str">
        <x:v>Strategie applicate</x:v>
      </x:c>
      <x:c r="B27" s="11" t="n">
        <x:v>224</x:v>
      </x:c>
      <x:c r="C27" s="11" t="str">
        <x:v>strategie</x:v>
      </x:c>
      <x:c r="D27" s="11" t="str"/>
      <x:c r="E27" s="11"/>
      <x:c r="F27" s="11"/>
      <x:c r="G27" s="11"/>
      <x:c r="H27" s="11"/>
    </x:row>
    <x:row r="28">
      <x:c r="A28" s="11" t="str">
        <x:v>Risultati stale</x:v>
      </x:c>
      <x:c r="B28" s="11" t="n">
        <x:v>12</x:v>
      </x:c>
      <x:c r="C28" s="11" t="str">
        <x:v>job</x:v>
      </x:c>
      <x:c r="D28" s="11" t="str">
        <x:v>Stale ratio 5,084746%</x:v>
      </x:c>
      <x:c r="E28" s="11"/>
      <x:c r="F28" s="11"/>
      <x:c r="G28" s="11"/>
      <x:c r="H28" s="11"/>
    </x:row>
    <x:row r="29">
      <x:c r="A29" s="11" t="str">
        <x:v>Runtime GA medio</x:v>
      </x:c>
      <x:c r="B29" s="122" t="n">
        <x:v>0.035318906</x:v>
      </x:c>
      <x:c r="C29" s="11" t="str">
        <x:v>s</x:v>
      </x:c>
      <x:c r="D29" s="11" t="str"/>
      <x:c r="E29" s="11"/>
      <x:c r="F29" s="11"/>
      <x:c r="G29" s="11"/>
      <x:c r="H29" s="11"/>
    </x:row>
    <x:row r="30">
      <x:c r="A30" s="11" t="str">
        <x:v>Runtime GA mediano</x:v>
      </x:c>
      <x:c r="B30" s="122" t="n">
        <x:v>0.0041922</x:v>
      </x:c>
      <x:c r="C30" s="11" t="str">
        <x:v>s</x:v>
      </x:c>
      <x:c r="D30" s="11" t="str"/>
      <x:c r="E30" s="11"/>
      <x:c r="F30" s="11"/>
      <x:c r="G30" s="11"/>
      <x:c r="H30" s="11"/>
    </x:row>
    <x:row r="31">
      <x:c r="A31" s="11" t="str">
        <x:v>Runtime GA P95</x:v>
      </x:c>
      <x:c r="B31" s="122" t="n">
        <x:v>0.2000673</x:v>
      </x:c>
      <x:c r="C31" s="11" t="str">
        <x:v>s</x:v>
      </x:c>
      <x:c r="D31" s="11" t="str"/>
      <x:c r="E31" s="11"/>
      <x:c r="F31" s="11"/>
      <x:c r="G31" s="11"/>
      <x:c r="H31" s="11"/>
    </x:row>
    <x:row r="32">
      <x:c r="A32" s="11" t="str">
        <x:v>Runtime GA massimo</x:v>
      </x:c>
      <x:c r="B32" s="122" t="n">
        <x:v>0.4406908</x:v>
      </x:c>
      <x:c r="C32" s="11" t="str">
        <x:v>s</x:v>
      </x:c>
      <x:c r="D32" s="11" t="str"/>
      <x:c r="E32" s="11"/>
      <x:c r="F32" s="11"/>
      <x:c r="G32" s="11"/>
      <x:c r="H32" s="11"/>
    </x:row>
    <x:row r="33">
      <x:c r="A33" s="11" t="str">
        <x:v>Snapshot lag massimo</x:v>
      </x:c>
      <x:c r="B33" s="11" t="n">
        <x:v>0</x:v>
      </x:c>
      <x:c r="C33" s="11" t="str">
        <x:v>s</x:v>
      </x:c>
      <x:c r="D33" s="11" t="str"/>
      <x:c r="E33" s="11"/>
      <x:c r="F33" s="11"/>
      <x:c r="G33" s="11"/>
      <x:c r="H33" s="11"/>
    </x:row>
    <x:row r="34">
      <x:c r="A34" s="11" t="str">
        <x:v>Violazioni runtime</x:v>
      </x:c>
      <x:c r="B34" s="11" t="n">
        <x:v>0</x:v>
      </x:c>
      <x:c r="C34" s="11" t="str">
        <x:v>violazioni</x:v>
      </x:c>
      <x:c r="D34" s="11" t="str"/>
      <x:c r="E34" s="11"/>
      <x:c r="F34" s="11"/>
      <x:c r="G34" s="11"/>
      <x:c r="H34" s="11"/>
    </x:row>
    <x:row r="35">
      <x:c r="A35" s="11" t="str">
        <x:v>Archivio evidenze</x:v>
      </x:c>
      <x:c r="B35" s="11" t="str">
        <x:v>post-cleanup-full-pipeline-20260622-234722.zip</x:v>
      </x:c>
      <x:c r="C35" s="11" t="str">
        <x:v>—</x:v>
      </x:c>
      <x:c r="D35" s="11" t="str">
        <x:v>SHA-256 471cdf8d981a40a6ca18a4eedaa102ca7bdb9ffe7420b3910dec7e54b12711c0</x:v>
      </x:c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35" t="str">
        <x:v>Condizioni di partenza G02</x:v>
      </x:c>
      <x:c r="B37" s="135"/>
      <x:c r="C37" s="135"/>
      <x:c r="D37" s="135"/>
      <x:c r="E37" s="124"/>
      <x:c r="F37" s="124"/>
      <x:c r="G37" s="124"/>
      <x:c r="H37" s="124"/>
    </x:row>
    <x:row r="38">
      <x:c r="A38" s="62" t="str">
        <x:v>Controllo</x:v>
      </x:c>
      <x:c r="B38" s="62" t="str">
        <x:v>Stato</x:v>
      </x:c>
      <x:c r="C38" s="62" t="str">
        <x:v>Valore</x:v>
      </x:c>
      <x:c r="D38" s="62" t="str">
        <x:v>Nota</x:v>
      </x:c>
      <x:c r="E38" s="11"/>
      <x:c r="F38" s="11"/>
      <x:c r="G38" s="11"/>
      <x:c r="H38" s="11"/>
    </x:row>
    <x:row r="39">
      <x:c r="A39" s="11" t="str">
        <x:v>Materializzazioni G02</x:v>
      </x:c>
      <x:c r="B39" s="11" t="str">
        <x:v>PASS</x:v>
      </x:c>
      <x:c r="C39" s="11" t="str">
        <x:v>45 / 45 READY_METADATA</x:v>
      </x:c>
      <x:c r="D39" s="11" t="str">
        <x:v>Nove configurazioni × cinque seed</x:v>
      </x:c>
      <x:c r="E39" s="11"/>
      <x:c r="F39" s="11"/>
      <x:c r="G39" s="11"/>
      <x:c r="H39" s="11"/>
    </x:row>
    <x:row r="40">
      <x:c r="A40" s="11" t="str">
        <x:v>Durata run principale</x:v>
      </x:c>
      <x:c r="B40" s="11" t="str">
        <x:v>PASS</x:v>
      </x:c>
      <x:c r="C40" s="11" t="str">
        <x:v>300 s</x:v>
      </x:c>
      <x:c r="D40" s="11" t="str">
        <x:v>Per tutte le 45 run MAIN</x:v>
      </x:c>
      <x:c r="E40" s="11"/>
      <x:c r="F40" s="11"/>
      <x:c r="G40" s="11"/>
      <x:c r="H40" s="11"/>
    </x:row>
    <x:row r="41">
      <x:c r="A41" s="11" t="str">
        <x:v>Scaling GA</x:v>
      </x:c>
      <x:c r="B41" s="11" t="str">
        <x:v>PASS</x:v>
      </x:c>
      <x:c r="C41" s="11" t="str">
        <x:v>STATIC</x:v>
      </x:c>
      <x:c r="D41" s="11" t="str">
        <x:v>Baseline canonica</x:v>
      </x:c>
      <x:c r="E41" s="11"/>
      <x:c r="F41" s="11"/>
      <x:c r="G41" s="11"/>
      <x:c r="H41" s="11"/>
    </x:row>
    <x:row r="42">
      <x:c r="A42" s="11" t="str">
        <x:v>Simulazioni G02 eseguite</x:v>
      </x:c>
      <x:c r="B42" s="11" t="str">
        <x:v>PASS</x:v>
      </x:c>
      <x:c r="C42" s="11" t="n">
        <x:v>45</x:v>
      </x:c>
      <x:c r="D42" s="11" t="str">
        <x:v>45/45 run principali completate</x:v>
      </x:c>
      <x:c r="E42" s="11"/>
      <x:c r="F42" s="11"/>
      <x:c r="G42" s="11"/>
      <x:c r="H42" s="11"/>
    </x:row>
    <x:row r="43">
      <x:c r="A43" s="215" t="str">
        <x:v>Prossimo passo</x:v>
      </x:c>
      <x:c r="B43" s="215" t="str">
        <x:v>G05 (fase successiva nel piano storico; ora completata)</x:v>
      </x:c>
      <x:c r="C43" s="215" t="str">
        <x:v>Risorse e repair</x:v>
      </x:c>
      <x:c r="D43" s="215" t="str">
        <x:v>Poi audit residui, eventuali G04-R, G02B e G07.</x:v>
      </x:c>
      <x:c r="E43" s="11"/>
      <x:c r="F43" s="11"/>
      <x:c r="G43" s="11"/>
      <x:c r="H43" s="11"/>
    </x:row>
    <x:row r="44">
      <x:c r="A44" s="11" t="str">
        <x:v>T-016</x:v>
      </x:c>
      <x:c r="B44" s="11" t="str">
        <x:v>NON_DISPONIBILE</x:v>
      </x:c>
      <x:c r="C44" s="11" t="str">
        <x:v>SUMO errors / teleports / emergency braking</x:v>
      </x:c>
      <x:c r="D44" s="11" t="str">
        <x:v>Non dichiarare PASS senza evidenza esplicita</x:v>
      </x:c>
      <x:c r="E44" s="11"/>
      <x:c r="F44" s="11"/>
      <x:c r="G44" s="11"/>
      <x:c r="H44" s="11"/>
    </x:row>
    <x:row r="45">
      <x:c r="A45" s="11" t="str">
        <x:v>taskCompletionModel</x:v>
      </x:c>
      <x:c r="B45" s="11" t="str">
        <x:v>NON_DISPONIBILE</x:v>
      </x:c>
      <x:c r="C45" s="11" t="str">
        <x:v>NOT_IMPLEMENTED</x:v>
      </x:c>
      <x:c r="D45" s="11" t="str">
        <x:v>Non calcolare completion rate</x:v>
      </x:c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 ht="26.399999618530273" hidden="0" customHeight="1">
      <x:c r="A47" s="38" t="str">
        <x:v>Risultato complessivo della campagna principale G02</x:v>
      </x:c>
      <x:c r="B47" s="38"/>
      <x:c r="C47" s="38"/>
      <x:c r="D47" s="38"/>
      <x:c r="E47" s="11"/>
      <x:c r="F47" s="11"/>
      <x:c r="G47" s="11"/>
      <x:c r="H47" s="11"/>
    </x:row>
    <x:row r="48" ht="15" hidden="0" customHeight="1">
      <x:c r="A48" s="38" t="str">
        <x:v>Metrica</x:v>
      </x:c>
      <x:c r="B48" s="38" t="str">
        <x:v>Valore</x:v>
      </x:c>
      <x:c r="C48" s="38" t="str">
        <x:v>Unità / intervallo</x:v>
      </x:c>
      <x:c r="D48" s="38" t="str">
        <x:v>Nota</x:v>
      </x:c>
      <x:c r="E48" s="11"/>
      <x:c r="F48" s="11"/>
      <x:c r="G48" s="11"/>
      <x:c r="H48" s="11"/>
    </x:row>
    <x:row r="49" ht="15" hidden="0" customHeight="1">
      <x:c r="A49" s="144" t="str">
        <x:v>Esito</x:v>
      </x:c>
      <x:c r="B49" s="143" t="str">
        <x:v>45 / 45 PASS</x:v>
      </x:c>
      <x:c r="C49" s="143" t="str">
        <x:v>nove configurazioni</x:v>
      </x:c>
      <x:c r="D49" s="143" t="str">
        <x:v>Validator errors = 0; warning = 0</x:v>
      </x:c>
      <x:c r="E49" s="11"/>
      <x:c r="F49" s="11"/>
      <x:c r="G49" s="11"/>
      <x:c r="H49" s="11"/>
    </x:row>
    <x:row r="50" ht="15" hidden="0" customHeight="1">
      <x:c r="A50" s="144" t="str">
        <x:v>Task generati</x:v>
      </x:c>
      <x:c r="B50" s="143" t="n">
        <x:v>451449</x:v>
      </x:c>
      <x:c r="C50" s="143" t="str">
        <x:v>task</x:v>
      </x:c>
      <x:c r="D50" s="143" t="str">
        <x:v>taskCompletionModel = NOT_IMPLEMENTED</x:v>
      </x:c>
      <x:c r="E50" s="11"/>
      <x:c r="F50" s="11"/>
      <x:c r="G50" s="11"/>
      <x:c r="H50" s="11"/>
    </x:row>
    <x:row r="51" ht="15" hidden="0" customHeight="1">
      <x:c r="A51" s="144" t="str">
        <x:v>Task pendenti finali</x:v>
      </x:c>
      <x:c r="B51" s="143" t="n">
        <x:v>3499</x:v>
      </x:c>
      <x:c r="C51" s="143" t="str">
        <x:v>somma su 45 run</x:v>
      </x:c>
      <x:c r="D51" s="143" t="str">
        <x:v>Non interpretare come completion rate</x:v>
      </x:c>
      <x:c r="E51" s="11"/>
      <x:c r="F51" s="11"/>
      <x:c r="G51" s="11"/>
      <x:c r="H51" s="11"/>
    </x:row>
    <x:row r="52" ht="15" hidden="0" customHeight="1">
      <x:c r="A52" s="144" t="str">
        <x:v>GA submitted/completed/applied</x:v>
      </x:c>
      <x:c r="B52" s="143" t="str">
        <x:v>24410/24410/23313</x:v>
      </x:c>
      <x:c r="C52" s="143" t="str">
        <x:v>job</x:v>
      </x:c>
      <x:c r="D52" s="143" t="str">
        <x:v>Tutti i job submitted risultano completed</x:v>
      </x:c>
      <x:c r="E52" s="11"/>
      <x:c r="F52" s="11"/>
      <x:c r="G52" s="11"/>
      <x:c r="H52" s="11"/>
    </x:row>
    <x:row r="53" ht="15" hidden="0" customHeight="1">
      <x:c r="A53" s="144" t="str">
        <x:v>Risultati stale</x:v>
      </x:c>
      <x:c r="B53" s="143" t="n">
        <x:v>1097</x:v>
      </x:c>
      <x:c r="C53" s="143" t="str">
        <x:v>ratio pesata 4.494060%</x:v>
      </x:c>
      <x:c r="D53" s="143" t="str">
        <x:v>Crescita marcata nei profili stress</x:v>
      </x:c>
      <x:c r="E53" s="11"/>
      <x:c r="F53" s="11"/>
      <x:c r="G53" s="11"/>
      <x:c r="H53" s="11"/>
    </x:row>
    <x:row r="54" ht="15" hidden="0" customHeight="1">
      <x:c r="A54" s="144" t="str">
        <x:v>Runtime GA medio</x:v>
      </x:c>
      <x:c r="B54" s="143" t="n">
        <x:v>0.07008641462222222</x:v>
      </x:c>
      <x:c r="C54" s="143" t="str">
        <x:v>s, media delle medie run</x:v>
      </x:c>
      <x:c r="D54" s="143" t="str">
        <x:v>P95 medio 0.194206 s</x:v>
      </x:c>
      <x:c r="E54" s="11"/>
      <x:c r="F54" s="11"/>
      <x:c r="G54" s="11"/>
      <x:c r="H54" s="11"/>
    </x:row>
    <x:row r="55" ht="15" hidden="0" customHeight="1">
      <x:c r="A55" s="144" t="str">
        <x:v>Runtime GA massimo osservato</x:v>
      </x:c>
      <x:c r="B55" s="145" t="n">
        <x:v>0.6401189</x:v>
      </x:c>
      <x:c r="C55" s="143" t="str">
        <x:v>s</x:v>
      </x:c>
      <x:c r="D55" s="143" t="str">
        <x:v>Massimo osservato nelle 45 run</x:v>
      </x:c>
      <x:c r="E55" s="11"/>
      <x:c r="F55" s="11"/>
      <x:c r="G55" s="11"/>
      <x:c r="H55" s="11"/>
    </x:row>
    <x:row r="56" ht="15" hidden="0" customHeight="1">
      <x:c r="A56" s="144" t="str">
        <x:v>Snapshot lag massimo</x:v>
      </x:c>
      <x:c r="B56" s="145" t="n">
        <x:v>0</x:v>
      </x:c>
      <x:c r="C56" s="143" t="str">
        <x:v>s</x:v>
      </x:c>
      <x:c r="D56" s="143" t="str">
        <x:v>Tutte le run</x:v>
      </x:c>
      <x:c r="E56" s="11"/>
      <x:c r="F56" s="11"/>
      <x:c r="G56" s="11"/>
      <x:c r="H56" s="11"/>
    </x:row>
    <x:row r="57" ht="15" hidden="0" customHeight="1">
      <x:c r="A57" s="144" t="str">
        <x:v>Violazioni runtime</x:v>
      </x:c>
      <x:c r="B57" s="143" t="n">
        <x:v>0</x:v>
      </x:c>
      <x:c r="C57" s="143" t="str">
        <x:v>violazioni</x:v>
      </x:c>
      <x:c r="D57" s="143" t="str">
        <x:v>Tutte le run</x:v>
      </x:c>
      <x:c r="E57" s="11"/>
      <x:c r="F57" s="11"/>
      <x:c r="G57" s="11"/>
      <x:c r="H57" s="11"/>
    </x:row>
    <x:row r="58" ht="15" hidden="0" customHeight="1">
      <x:c r="A58" s="144" t="str">
        <x:v>Assegnazioni</x:v>
      </x:c>
      <x:c r="B58" s="143" t="str">
        <x:v>L 749963 / V 278 / E 5 / C 249</x:v>
      </x:c>
      <x:c r="C58" s="143" t="str">
        <x:v>conteggi aggregati</x:v>
      </x:c>
      <x:c r="D58" s="143" t="str">
        <x:v>Distribuzione fortemente orientata a LOCAL; da analizzare in G02B</x:v>
      </x:c>
      <x:c r="E58" s="11"/>
      <x:c r="F58" s="11"/>
      <x:c r="G58" s="11"/>
      <x:c r="H58" s="11"/>
    </x:row>
    <x:row r="59" ht="15" hidden="0" customHeight="1">
      <x:c r="A59" s="144" t="str">
        <x:v>Archivio batch finali</x:v>
      </x:c>
      <x:c r="B59" s="143" t="str">
        <x:v>9 ZIP verificati</x:v>
      </x:c>
      <x:c r="C59" s="143" t="str">
        <x:v>45 JSON risultato</x:v>
      </x:c>
      <x:c r="D59" s="143" t="str">
        <x:v>Hash dei JSON coerenti; inventari v3 senza self-entry</x:v>
      </x:c>
      <x:c r="E59" s="11"/>
      <x:c r="F59" s="11"/>
      <x:c r="G59" s="11"/>
      <x:c r="H59" s="11"/>
    </x:row>
    <x:row r="60" ht="26.399999618530273" hidden="0" customHeight="1">
      <x:c r="A60" s="144" t="str">
        <x:v>Limite principale</x:v>
      </x:c>
      <x:c r="B60" s="143" t="str">
        <x:v>NOT_IMPLEMENTED</x:v>
      </x:c>
      <x:c r="C60" s="143" t="str">
        <x:v>task completion model</x:v>
      </x:c>
      <x:c r="D60" s="143" t="str">
        <x:v>Task rimossi alla deadline non equivalgono a task completati</x:v>
      </x:c>
      <x:c r="E60" s="11"/>
      <x:c r="F60" s="11"/>
      <x:c r="G60" s="11"/>
      <x:c r="H60" s="11"/>
    </x:row>
    <x:row r="61" ht="26.399999618530273" hidden="0" customHeight="1">
      <x:c r="A61" s="167" t="str">
        <x:v>Decisione successiva</x:v>
      </x:c>
      <x:c r="B61" s="166" t="str">
        <x:v>G05 (ora completata)</x:v>
      </x:c>
      <x:c r="C61" s="166" t="str">
        <x:v>G02B pianificata dopo audit residui</x:v>
      </x:c>
      <x:c r="D61" s="166" t="str">
        <x:v>Baseline FULL_MA_GA G02 da riutilizzare.</x:v>
      </x:c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286" t="str">
        <x:v>Stato finale G03</x:v>
      </x:c>
      <x:c r="B63" s="286"/>
      <x:c r="C63" s="286"/>
      <x:c r="D63" s="286"/>
      <x:c r="E63" s="11"/>
      <x:c r="F63" s="11"/>
      <x:c r="G63" s="11"/>
      <x:c r="H63" s="11"/>
    </x:row>
    <x:row r="64">
      <x:c r="A64" s="286" t="str">
        <x:v>Metrica</x:v>
      </x:c>
      <x:c r="B64" s="286" t="str">
        <x:v>Valore</x:v>
      </x:c>
      <x:c r="C64" s="286" t="str">
        <x:v>Unità / stato</x:v>
      </x:c>
      <x:c r="D64" s="286" t="str">
        <x:v>Nota</x:v>
      </x:c>
      <x:c r="E64" s="11"/>
      <x:c r="F64" s="11"/>
      <x:c r="G64" s="11"/>
      <x:c r="H64" s="11"/>
    </x:row>
    <x:row r="65">
      <x:c r="A65" s="11" t="str">
        <x:v>Esito</x:v>
      </x:c>
      <x:c r="B65" s="11" t="str">
        <x:v>PASS_CON_LIMITE_STRESS</x:v>
      </x:c>
      <x:c r="C65" s="11" t="str">
        <x:v>G03</x:v>
      </x:c>
      <x:c r="D65" s="11" t="str">
        <x:v>Obiettivi obbligatori soddisfatti; prova stress opzionale documentata.</x:v>
      </x:c>
      <x:c r="E65" s="11"/>
      <x:c r="F65" s="11"/>
      <x:c r="G65" s="11"/>
      <x:c r="H65" s="11"/>
    </x:row>
    <x:row r="66">
      <x:c r="A66" s="11" t="str">
        <x:v>Materializzazioni A/B</x:v>
      </x:c>
      <x:c r="B66" s="11" t="str">
        <x:v>2 / 2 PASS</x:v>
      </x:c>
      <x:c r="C66" s="11" t="str">
        <x:v>CFG-REPRO</x:v>
      </x:c>
      <x:c r="D66" s="11" t="str">
        <x:v>LOGICALLY_IDENTICAL; differenze logiche 0.</x:v>
      </x:c>
      <x:c r="E66" s="11"/>
      <x:c r="F66" s="11"/>
      <x:c r="G66" s="11"/>
      <x:c r="H66" s="11"/>
    </x:row>
    <x:row r="67">
      <x:c r="A67" s="11" t="str">
        <x:v>Runtime repeat</x:v>
      </x:c>
      <x:c r="B67" s="11" t="str">
        <x:v>3 / 3 PASS</x:v>
      </x:c>
      <x:c r="C67" s="11" t="str">
        <x:v>CFG-RUNTIME-REPEAT</x:v>
      </x:c>
      <x:c r="D67" s="11" t="str">
        <x:v>Contatori funzionali identici; runtime host variabile.</x:v>
      </x:c>
      <x:c r="E67" s="11"/>
      <x:c r="F67" s="11"/>
      <x:c r="G67" s="11"/>
      <x:c r="H67" s="11"/>
    </x:row>
    <x:row r="68">
      <x:c r="A68" s="11" t="str">
        <x:v>Nominal extended</x:v>
      </x:c>
      <x:c r="B68" s="11" t="str">
        <x:v>5 / 5 PASS</x:v>
      </x:c>
      <x:c r="C68" s="11" t="str">
        <x:v>600 s</x:v>
      </x:c>
      <x:c r="D68" s="11" t="str">
        <x:v>Validator 0/0, lag 0, violazioni 0.</x:v>
      </x:c>
      <x:c r="E68" s="11"/>
      <x:c r="F68" s="11"/>
      <x:c r="G68" s="11"/>
      <x:c r="H68" s="11"/>
    </x:row>
    <x:row r="69">
      <x:c r="A69" s="278" t="str">
        <x:v>Stress extended</x:v>
      </x:c>
      <x:c r="B69" s="278" t="str">
        <x:v>Interrotta a 464 s</x:v>
      </x:c>
      <x:c r="C69" s="278" t="str">
        <x:v>H-S-EXT-01</x:v>
      </x:c>
      <x:c r="D69" s="278" t="str">
        <x:v>Watchdog federati e TraCI VehicleGetTaxiFleet; nessun rerun.</x:v>
      </x:c>
      <x:c r="E69" s="11"/>
      <x:c r="F69" s="11"/>
      <x:c r="G69" s="11"/>
      <x:c r="H69" s="11"/>
    </x:row>
    <x:row r="70">
      <x:c r="A70" s="11" t="str">
        <x:v>Task generati run PASS</x:v>
      </x:c>
      <x:c r="B70" s="11" t="n">
        <x:v>124255</x:v>
      </x:c>
      <x:c r="C70" s="11" t="str">
        <x:v>8 run</x:v>
      </x:c>
      <x:c r="D70" s="11" t="str">
        <x:v>taskCompletionModel = NOT_IMPLEMENTED.</x:v>
      </x:c>
      <x:c r="E70" s="11"/>
      <x:c r="F70" s="11"/>
      <x:c r="G70" s="11"/>
      <x:c r="H70" s="11"/>
    </x:row>
    <x:row r="71">
      <x:c r="A71" s="11" t="str">
        <x:v>GA submitted/completed/applied</x:v>
      </x:c>
      <x:c r="B71" s="11" t="str">
        <x:v>7661/7661/7606</x:v>
      </x:c>
      <x:c r="C71" s="11" t="str">
        <x:v>job</x:v>
      </x:c>
      <x:c r="D71" s="11" t="str">
        <x:v>55 stale complessivi.</x:v>
      </x:c>
      <x:c r="E71" s="11"/>
      <x:c r="F71" s="11"/>
      <x:c r="G71" s="11"/>
      <x:c r="H71" s="11"/>
    </x:row>
    <x:row r="72">
      <x:c r="A72" s="11" t="str">
        <x:v>Snapshot lag massimo</x:v>
      </x:c>
      <x:c r="B72" s="11" t="n">
        <x:v>0</x:v>
      </x:c>
      <x:c r="C72" s="11" t="str">
        <x:v>s</x:v>
      </x:c>
      <x:c r="D72" s="11" t="str">
        <x:v>Otto run PASS.</x:v>
      </x:c>
      <x:c r="E72" s="11"/>
      <x:c r="F72" s="11"/>
      <x:c r="G72" s="11"/>
      <x:c r="H72" s="11"/>
    </x:row>
    <x:row r="73">
      <x:c r="A73" s="11" t="str">
        <x:v>Violazioni runtime</x:v>
      </x:c>
      <x:c r="B73" s="11" t="n">
        <x:v>0</x:v>
      </x:c>
      <x:c r="C73" s="11" t="str">
        <x:v>violazioni</x:v>
      </x:c>
      <x:c r="D73" s="11" t="str">
        <x:v>Otto run PASS.</x:v>
      </x:c>
      <x:c r="E73" s="11"/>
      <x:c r="F73" s="11"/>
      <x:c r="G73" s="11"/>
      <x:c r="H73" s="11"/>
    </x:row>
    <x:row r="74">
      <x:c r="A74" s="11" t="str">
        <x:v>Sequenza successiva</x:v>
      </x:c>
      <x:c r="B74" s="11" t="str">
        <x:v>Sequenza storica: G05 → G06 → audit residui → G02B → G07</x:v>
      </x:c>
      <x:c r="C74" s="11" t="str">
        <x:v>—</x:v>
      </x:c>
      <x:c r="D74" s="11" t="str">
        <x:v>G04 chiusa con limiti di osservabilità; G02B resta ultimo gruppo con nuove simulazioni.</x:v>
      </x:c>
      <x:c r="E74" s="11"/>
      <x:c r="F74" s="11"/>
      <x:c r="G74" s="11"/>
      <x:c r="H74" s="11"/>
    </x:row>
    <x:row r="75">
      <x:c r="A75" s="333" t="str">
        <x:v>Stato finale G04</x:v>
      </x:c>
      <x:c r="B75" s="334"/>
      <x:c r="C75" s="334"/>
      <x:c r="D75" s="335"/>
      <x:c r="E75" s="11"/>
      <x:c r="F75" s="11"/>
      <x:c r="G75" s="11"/>
      <x:c r="H75" s="11"/>
    </x:row>
    <x:row r="76">
      <x:c r="A76" s="319" t="str">
        <x:v>Metrica</x:v>
      </x:c>
      <x:c r="B76" s="92" t="str">
        <x:v>Valore</x:v>
      </x:c>
      <x:c r="C76" s="92" t="str">
        <x:v>Unità / stato</x:v>
      </x:c>
      <x:c r="D76" s="320" t="str">
        <x:v>Nota</x:v>
      </x:c>
      <x:c r="E76" s="11"/>
      <x:c r="F76" s="11"/>
      <x:c r="G76" s="11"/>
      <x:c r="H76" s="11"/>
    </x:row>
    <x:row r="77">
      <x:c r="A77" s="319" t="str">
        <x:v>Esito</x:v>
      </x:c>
      <x:c r="B77" s="92" t="str">
        <x:v>PASS_WITH_OBSERVABILITY_LIMITS</x:v>
      </x:c>
      <x:c r="C77" s="92" t="str">
        <x:v>G04</x:v>
      </x:c>
      <x:c r="D77" s="320" t="str">
        <x:v>5/5 run tecniche PASS; 10 test valutati; 0 FAIL.</x:v>
      </x:c>
      <x:c r="E77" s="11"/>
      <x:c r="F77" s="11"/>
      <x:c r="G77" s="11"/>
      <x:c r="H77" s="11"/>
    </x:row>
    <x:row r="78">
      <x:c r="A78" s="319" t="str">
        <x:v>Task generati</x:v>
      </x:c>
      <x:c r="B78" s="92" t="n">
        <x:v>29624</x:v>
      </x:c>
      <x:c r="C78" s="92" t="str">
        <x:v>task</x:v>
      </x:c>
      <x:c r="D78" s="320" t="str">
        <x:v>Somma delle cinque run; completion model non implementato.</x:v>
      </x:c>
      <x:c r="E78" s="11"/>
      <x:c r="F78" s="11"/>
      <x:c r="G78" s="11"/>
      <x:c r="H78" s="11"/>
    </x:row>
    <x:row r="79">
      <x:c r="A79" s="319" t="str">
        <x:v>GA sub/comp/appl</x:v>
      </x:c>
      <x:c r="B79" s="92" t="str">
        <x:v>1715/1715/1601</x:v>
      </x:c>
      <x:c r="C79" s="92" t="str">
        <x:v>job</x:v>
      </x:c>
      <x:c r="D79" s="320" t="str">
        <x:v>114 stale complessivi.</x:v>
      </x:c>
      <x:c r="E79" s="11"/>
      <x:c r="F79" s="11"/>
      <x:c r="G79" s="11"/>
      <x:c r="H79" s="11"/>
    </x:row>
    <x:row r="80">
      <x:c r="A80" s="319" t="str">
        <x:v>Stale ratio pesata</x:v>
      </x:c>
      <x:c r="B80" s="92" t="n">
        <x:v>6.647230320699708</x:v>
      </x:c>
      <x:c r="C80" s="92" t="str">
        <x:v>%</x:v>
      </x:c>
      <x:c r="D80" s="320" t="str">
        <x:v>M-V2V-01 = 48,186528%; non bug core automatico.</x:v>
      </x:c>
      <x:c r="E80" s="11"/>
      <x:c r="F80" s="11"/>
      <x:c r="G80" s="11"/>
      <x:c r="H80" s="11"/>
    </x:row>
    <x:row r="81">
      <x:c r="A81" s="319" t="str">
        <x:v>Assegnazioni</x:v>
      </x:c>
      <x:c r="B81" s="92" t="str">
        <x:v>L 43721 / V 0 / E 0 / C 2</x:v>
      </x:c>
      <x:c r="C81" s="92" t="str">
        <x:v>conteggi applicati</x:v>
      </x:c>
      <x:c r="D81" s="320" t="str">
        <x:v>EDGE osservato solo parzialmente; V2V non applicato.</x:v>
      </x:c>
    </x:row>
    <x:row r="82">
      <x:c r="A82" s="319" t="str">
        <x:v>Snapshot lag massimo</x:v>
      </x:c>
      <x:c r="B82" s="92" t="n">
        <x:v>0</x:v>
      </x:c>
      <x:c r="C82" s="92" t="str">
        <x:v>s</x:v>
      </x:c>
      <x:c r="D82" s="320" t="str">
        <x:v>Tutte le run.</x:v>
      </x:c>
    </x:row>
    <x:row r="83">
      <x:c r="A83" s="319" t="str">
        <x:v>Violazioni runtime</x:v>
      </x:c>
      <x:c r="B83" s="92" t="n">
        <x:v>0</x:v>
      </x:c>
      <x:c r="C83" s="92" t="str">
        <x:v>violazioni</x:v>
      </x:c>
      <x:c r="D83" s="320" t="str">
        <x:v>Tutte le run.</x:v>
      </x:c>
    </x:row>
    <x:row r="84">
      <x:c r="A84" s="321" t="str">
        <x:v>Sequenza successiva</x:v>
      </x:c>
      <x:c r="B84" s="322" t="str">
        <x:v>Sequenza aggiornata: audit residui → eventuali G04-R → G02B → G07</x:v>
      </x:c>
      <x:c r="C84" s="322" t="str">
        <x:v>—</x:v>
      </x:c>
      <x:c r="D84" s="323" t="str">
        <x:v>G02B resta pianificata dopo l’audit residuo.</x:v>
      </x:c>
    </x:row>
  </x:sheetData>
  <x:mergeCells>
    <x:mergeCell ref="A1:H1"/>
    <x:mergeCell ref="A3:H3"/>
    <x:mergeCell ref="A15:H15"/>
    <x:mergeCell ref="A37:H37"/>
    <x:mergeCell ref="A47:D47"/>
    <x:mergeCell ref="A1:D1"/>
  </x:mergeCells>
  <x:conditionalFormatting sqref="C5:C12">
    <x:cfRule type="expression" dxfId="59" priority="1">
      <x:formula>C5="PASS"</x:formula>
    </x:cfRule>
    <x:cfRule type="expression" dxfId="61" priority="3">
      <x:formula>C5="PASS"</x:formula>
    </x:cfRule>
    <x:cfRule type="expression" dxfId="62" priority="4">
      <x:formula>C5="DA_ESEGUIRE"</x:formula>
    </x:cfRule>
  </x:conditionalFormatting>
  <x:conditionalFormatting sqref="B39:B45">
    <x:cfRule type="expression" dxfId="60" priority="2">
      <x:formula>B39="PASS"</x:formula>
    </x:cfRule>
    <x:cfRule type="expression" dxfId="63" priority="5">
      <x:formula>B39="PASS"</x:formula>
    </x:cfRule>
    <x:cfRule type="expression" dxfId="64" priority="6">
      <x:formula>B39="DA_ESEGUIRE"</x:formula>
    </x:cfRule>
    <x:cfRule type="expression" dxfId="65" priority="7">
      <x:formula>B39="NON_DISPONIBILE"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14" hidden="0" customWidth="1"/>
    <x:col min="5" max="5" width="42" hidden="0" customWidth="1"/>
    <x:col min="6" max="6" width="3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 ht="28" customHeight="1">
      <x:c r="A1" s="171" t="str">
        <x:v>Risultati finali G02 — campagna principale 3×3×5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</x:row>
    <x:row r="2" ht="28" customHeight="1">
      <x:c r="A2" s="175" t="str">
        <x:v>Baseline FULL_MA_GA riutilizzata in G05 e riutilizzabile in G02B; G06 è chiusa, prossimo passo audit residui.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</x:row>
    <x:row r="4">
      <x:c r="A4" s="187" t="str">
        <x:v>Indicatore</x:v>
      </x:c>
      <x:c r="B4" s="188" t="str">
        <x:v>Valore</x:v>
      </x:c>
      <x:c r="C4" s="188" t="str">
        <x:v>Indicatore</x:v>
      </x:c>
      <x:c r="D4" s="188" t="str">
        <x:v>Valore</x:v>
      </x:c>
      <x:c r="E4" s="188" t="str">
        <x:v>Indicatore</x:v>
      </x:c>
      <x:c r="F4" s="188" t="str">
        <x:v>Valore</x:v>
      </x:c>
      <x:c r="G4" s="188" t="str">
        <x:v>Indicatore</x:v>
      </x:c>
      <x:c r="H4" s="189" t="str">
        <x:v>Valore</x:v>
      </x:c>
    </x:row>
    <x:row r="5">
      <x:c r="A5" t="str">
        <x:v>Run PASS</x:v>
      </x:c>
      <x:c r="B5" s="10" t="n">
        <x:v>45</x:v>
      </x:c>
      <x:c r="C5" s="10" t="str">
        <x:v>Task generati</x:v>
      </x:c>
      <x:c r="D5" s="10" t="n">
        <x:v>451449</x:v>
      </x:c>
      <x:c r="E5" s="10" t="str">
        <x:v>GA submitted/completed</x:v>
      </x:c>
      <x:c r="F5" s="10" t="str">
        <x:v>24410/24410</x:v>
      </x:c>
      <x:c r="G5" s="10" t="str">
        <x:v>Stale pesato</x:v>
      </x:c>
      <x:c r="H5" s="10" t="n">
        <x:v>4.494059811552642</x:v>
      </x:c>
    </x:row>
    <x:row r="6">
      <x:c r="A6" t="str">
        <x:v>Lag massimo</x:v>
      </x:c>
      <x:c r="B6" s="10" t="n">
        <x:v>0</x:v>
      </x:c>
      <x:c r="C6" s="10" t="str">
        <x:v>Violazioni</x:v>
      </x:c>
      <x:c r="D6" s="10" t="n">
        <x:v>0</x:v>
      </x:c>
      <x:c r="E6" s="10" t="str">
        <x:v>Runtime massimo</x:v>
      </x:c>
      <x:c r="F6" s="10" t="n">
        <x:v>0.6401189</x:v>
      </x:c>
      <x:c r="G6" s="10" t="str">
        <x:v>Task completion model</x:v>
      </x:c>
      <x:c r="H6" s="10" t="str">
        <x:v>NOT_IMPLEMENTED</x:v>
      </x:c>
    </x:row>
    <x:row r="9">
      <x:c r="A9" s="187" t="str">
        <x:v>Configurazione</x:v>
      </x:c>
      <x:c r="B9" s="188" t="str">
        <x:v>Densità</x:v>
      </x:c>
      <x:c r="C9" s="188" t="str">
        <x:v>Workload</x:v>
      </x:c>
      <x:c r="D9" s="188" t="str">
        <x:v>Run</x:v>
      </x:c>
      <x:c r="E9" s="188" t="str">
        <x:v>PASS</x:v>
      </x:c>
      <x:c r="F9" s="188" t="str">
        <x:v>Task totali</x:v>
      </x:c>
      <x:c r="G9" s="188" t="str">
        <x:v>Pending medio</x:v>
      </x:c>
      <x:c r="H9" s="188" t="str">
        <x:v>GA sub./comp./appl.</x:v>
      </x:c>
      <x:c r="I9" s="188" t="str">
        <x:v>Stale</x:v>
      </x:c>
      <x:c r="J9" s="188" t="str">
        <x:v>Stale % medio</x:v>
      </x:c>
      <x:c r="K9" s="188" t="str">
        <x:v>Runtime medio (s)</x:v>
      </x:c>
      <x:c r="L9" s="188" t="str">
        <x:v>P95 medio (s)</x:v>
      </x:c>
      <x:c r="M9" s="188" t="str">
        <x:v>Max osservato (s)</x:v>
      </x:c>
      <x:c r="N9" s="188" t="str">
        <x:v>Lag max (s)</x:v>
      </x:c>
      <x:c r="O9" s="188" t="str">
        <x:v>Violazioni</x:v>
      </x:c>
      <x:c r="P9" s="188" t="str">
        <x:v>LOCAL</x:v>
      </x:c>
      <x:c r="Q9" s="188" t="str">
        <x:v>VEHICLE</x:v>
      </x:c>
      <x:c r="R9" s="189" t="str">
        <x:v>EDGE/CLOUD</x:v>
      </x:c>
    </x:row>
    <x:row r="10">
      <x:c r="A10" s="10" t="str">
        <x:v>CFG-L-E</x:v>
      </x:c>
      <x:c r="B10" s="10" t="str">
        <x:v>low_density</x:v>
      </x:c>
      <x:c r="C10" s="10" t="str">
        <x:v>WL-E</x:v>
      </x:c>
      <x:c r="D10" s="10" t="n">
        <x:v>5</x:v>
      </x:c>
      <x:c r="E10" s="195" t="n">
        <x:v>5</x:v>
      </x:c>
      <x:c r="F10" s="10" t="n">
        <x:v>27498</x:v>
      </x:c>
      <x:c r="G10" s="198" t="n">
        <x:v>25.2</x:v>
      </x:c>
      <x:c r="H10" s="10" t="str">
        <x:v>3775/3775/3767</x:v>
      </x:c>
      <x:c r="I10" s="10" t="n">
        <x:v>8</x:v>
      </x:c>
      <x:c r="J10" s="117" t="n">
        <x:v>0.2190972</x:v>
      </x:c>
      <x:c r="K10" s="117" t="n">
        <x:v>0.0268345634</x:v>
      </x:c>
      <x:c r="L10" s="117" t="n">
        <x:v>0.0595926</x:v>
      </x:c>
      <x:c r="M10" s="117" t="n">
        <x:v>0.2303412</x:v>
      </x:c>
      <x:c r="N10" s="10" t="n">
        <x:v>0</x:v>
      </x:c>
      <x:c r="O10" s="10" t="n">
        <x:v>0</x:v>
      </x:c>
      <x:c r="P10" s="10" t="n">
        <x:v>48949</x:v>
      </x:c>
      <x:c r="Q10" s="10" t="n">
        <x:v>177</x:v>
      </x:c>
      <x:c r="R10" s="10" t="str">
        <x:v>1/176</x:v>
      </x:c>
    </x:row>
    <x:row r="11">
      <x:c r="A11" s="10" t="str">
        <x:v>CFG-L-I</x:v>
      </x:c>
      <x:c r="B11" s="10" t="str">
        <x:v>low_density</x:v>
      </x:c>
      <x:c r="C11" s="10" t="str">
        <x:v>WL-I</x:v>
      </x:c>
      <x:c r="D11" s="10" t="n">
        <x:v>5</x:v>
      </x:c>
      <x:c r="E11" s="195" t="n">
        <x:v>5</x:v>
      </x:c>
      <x:c r="F11" s="10" t="n">
        <x:v>27498</x:v>
      </x:c>
      <x:c r="G11" s="198" t="n">
        <x:v>32.4</x:v>
      </x:c>
      <x:c r="H11" s="10" t="str">
        <x:v>3547/3547/3541</x:v>
      </x:c>
      <x:c r="I11" s="10" t="n">
        <x:v>6</x:v>
      </x:c>
      <x:c r="J11" s="117" t="n">
        <x:v>0.1696068</x:v>
      </x:c>
      <x:c r="K11" s="117" t="n">
        <x:v>0.0296477942</x:v>
      </x:c>
      <x:c r="L11" s="117" t="n">
        <x:v>0.061001</x:v>
      </x:c>
      <x:c r="M11" s="117" t="n">
        <x:v>0.2951016</x:v>
      </x:c>
      <x:c r="N11" s="10" t="n">
        <x:v>0</x:v>
      </x:c>
      <x:c r="O11" s="10" t="n">
        <x:v>0</x:v>
      </x:c>
      <x:c r="P11" s="10" t="n">
        <x:v>70183</x:v>
      </x:c>
      <x:c r="Q11" s="10" t="n">
        <x:v>26</x:v>
      </x:c>
      <x:c r="R11" s="10" t="str">
        <x:v>1/12</x:v>
      </x:c>
    </x:row>
    <x:row r="12">
      <x:c r="A12" s="10" t="str">
        <x:v>CFG-L-S</x:v>
      </x:c>
      <x:c r="B12" s="10" t="str">
        <x:v>low_density</x:v>
      </x:c>
      <x:c r="C12" s="10" t="str">
        <x:v>WL-S</x:v>
      </x:c>
      <x:c r="D12" s="10" t="n">
        <x:v>5</x:v>
      </x:c>
      <x:c r="E12" s="195" t="n">
        <x:v>5</x:v>
      </x:c>
      <x:c r="F12" s="10" t="n">
        <x:v>27498</x:v>
      </x:c>
      <x:c r="G12" s="198" t="n">
        <x:v>52.4</x:v>
      </x:c>
      <x:c r="H12" s="10" t="str">
        <x:v>3030/3030/3029</x:v>
      </x:c>
      <x:c r="I12" s="10" t="n">
        <x:v>1</x:v>
      </x:c>
      <x:c r="J12" s="117" t="n">
        <x:v>0.0344234</x:v>
      </x:c>
      <x:c r="K12" s="117" t="n">
        <x:v>0.0407877164</x:v>
      </x:c>
      <x:c r="L12" s="117" t="n">
        <x:v>0.08094222</x:v>
      </x:c>
      <x:c r="M12" s="117" t="n">
        <x:v>0.2148758</x:v>
      </x:c>
      <x:c r="N12" s="10" t="n">
        <x:v>0</x:v>
      </x:c>
      <x:c r="O12" s="10" t="n">
        <x:v>0</x:v>
      </x:c>
      <x:c r="P12" s="10" t="n">
        <x:v>111007</x:v>
      </x:c>
      <x:c r="Q12" s="10" t="n">
        <x:v>2</x:v>
      </x:c>
      <x:c r="R12" s="10" t="str">
        <x:v>0/1</x:v>
      </x:c>
    </x:row>
    <x:row r="13">
      <x:c r="A13" s="10" t="str">
        <x:v>CFG-N-E</x:v>
      </x:c>
      <x:c r="B13" s="10" t="str">
        <x:v>nominal</x:v>
      </x:c>
      <x:c r="C13" s="10" t="str">
        <x:v>WL-E</x:v>
      </x:c>
      <x:c r="D13" s="10" t="n">
        <x:v>5</x:v>
      </x:c>
      <x:c r="E13" s="195" t="n">
        <x:v>5</x:v>
      </x:c>
      <x:c r="F13" s="10" t="n">
        <x:v>46475</x:v>
      </x:c>
      <x:c r="G13" s="198" t="n">
        <x:v>51.2</x:v>
      </x:c>
      <x:c r="H13" s="10" t="str">
        <x:v>2936/2936/2929</x:v>
      </x:c>
      <x:c r="I13" s="10" t="n">
        <x:v>7</x:v>
      </x:c>
      <x:c r="J13" s="117" t="n">
        <x:v>0.2449278</x:v>
      </x:c>
      <x:c r="K13" s="117" t="n">
        <x:v>0.0569331726</x:v>
      </x:c>
      <x:c r="L13" s="117" t="n">
        <x:v>0.12781866</x:v>
      </x:c>
      <x:c r="M13" s="117" t="n">
        <x:v>0.2600145</x:v>
      </x:c>
      <x:c r="N13" s="10" t="n">
        <x:v>0</x:v>
      </x:c>
      <x:c r="O13" s="10" t="n">
        <x:v>0</x:v>
      </x:c>
      <x:c r="P13" s="10" t="n">
        <x:v>67404</x:v>
      </x:c>
      <x:c r="Q13" s="10" t="n">
        <x:v>43</x:v>
      </x:c>
      <x:c r="R13" s="10" t="str">
        <x:v>0/48</x:v>
      </x:c>
    </x:row>
    <x:row r="14">
      <x:c r="A14" s="10" t="str">
        <x:v>CFG-N-I</x:v>
      </x:c>
      <x:c r="B14" s="10" t="str">
        <x:v>nominal</x:v>
      </x:c>
      <x:c r="C14" s="10" t="str">
        <x:v>WL-I</x:v>
      </x:c>
      <x:c r="D14" s="10" t="n">
        <x:v>5</x:v>
      </x:c>
      <x:c r="E14" s="195" t="n">
        <x:v>5</x:v>
      </x:c>
      <x:c r="F14" s="10" t="n">
        <x:v>46475</x:v>
      </x:c>
      <x:c r="G14" s="198" t="n">
        <x:v>61</x:v>
      </x:c>
      <x:c r="H14" s="10" t="str">
        <x:v>2756/2756/2745</x:v>
      </x:c>
      <x:c r="I14" s="10" t="n">
        <x:v>11</x:v>
      </x:c>
      <x:c r="J14" s="117" t="n">
        <x:v>0.4053886</x:v>
      </x:c>
      <x:c r="K14" s="117" t="n">
        <x:v>0.065563101</x:v>
      </x:c>
      <x:c r="L14" s="117" t="n">
        <x:v>0.1460521</x:v>
      </x:c>
      <x:c r="M14" s="117" t="n">
        <x:v>0.3080391</x:v>
      </x:c>
      <x:c r="N14" s="10" t="n">
        <x:v>0</x:v>
      </x:c>
      <x:c r="O14" s="10" t="n">
        <x:v>0</x:v>
      </x:c>
      <x:c r="P14" s="10" t="n">
        <x:v>92179</x:v>
      </x:c>
      <x:c r="Q14" s="10" t="n">
        <x:v>6</x:v>
      </x:c>
      <x:c r="R14" s="10" t="str">
        <x:v>0/2</x:v>
      </x:c>
    </x:row>
    <x:row r="15">
      <x:c r="A15" s="10" t="str">
        <x:v>CFG-N-S</x:v>
      </x:c>
      <x:c r="B15" s="10" t="str">
        <x:v>nominal</x:v>
      </x:c>
      <x:c r="C15" s="10" t="str">
        <x:v>WL-S</x:v>
      </x:c>
      <x:c r="D15" s="10" t="n">
        <x:v>5</x:v>
      </x:c>
      <x:c r="E15" s="195" t="n">
        <x:v>5</x:v>
      </x:c>
      <x:c r="F15" s="10" t="n">
        <x:v>46475</x:v>
      </x:c>
      <x:c r="G15" s="198" t="n">
        <x:v>102.8</x:v>
      </x:c>
      <x:c r="H15" s="10" t="str">
        <x:v>2177/2177/1917</x:v>
      </x:c>
      <x:c r="I15" s="10" t="n">
        <x:v>260</x:v>
      </x:c>
      <x:c r="J15" s="117" t="n">
        <x:v>11.9346474</x:v>
      </x:c>
      <x:c r="K15" s="117" t="n">
        <x:v>0.10101522760000001</x:v>
      </x:c>
      <x:c r="L15" s="117" t="n">
        <x:v>0.28030834</x:v>
      </x:c>
      <x:c r="M15" s="117" t="n">
        <x:v>0.4811488</x:v>
      </x:c>
      <x:c r="N15" s="10" t="n">
        <x:v>0</x:v>
      </x:c>
      <x:c r="O15" s="10" t="n">
        <x:v>0</x:v>
      </x:c>
      <x:c r="P15" s="10" t="n">
        <x:v>103587</x:v>
      </x:c>
      <x:c r="Q15" s="10" t="n">
        <x:v>1</x:v>
      </x:c>
      <x:c r="R15" s="10" t="str">
        <x:v>0/2</x:v>
      </x:c>
    </x:row>
    <x:row r="16">
      <x:c r="A16" s="196" t="str">
        <x:v>CFG-H-E</x:v>
      </x:c>
      <x:c r="B16" s="196" t="str">
        <x:v>high_density / stress</x:v>
      </x:c>
      <x:c r="C16" s="196" t="str">
        <x:v>WL-E</x:v>
      </x:c>
      <x:c r="D16" s="196" t="n">
        <x:v>5</x:v>
      </x:c>
      <x:c r="E16" s="197" t="n">
        <x:v>5</x:v>
      </x:c>
      <x:c r="F16" s="196" t="n">
        <x:v>76510</x:v>
      </x:c>
      <x:c r="G16" s="199" t="n">
        <x:v>87</x:v>
      </x:c>
      <x:c r="H16" s="196" t="str">
        <x:v>2418/2418/2266</x:v>
      </x:c>
      <x:c r="I16" s="196" t="n">
        <x:v>152</x:v>
      </x:c>
      <x:c r="J16" s="200" t="n">
        <x:v>6.2723949999999995</x:v>
      </x:c>
      <x:c r="K16" s="200" t="n">
        <x:v>0.0762843336</x:v>
      </x:c>
      <x:c r="L16" s="200" t="n">
        <x:v>0.21296406</x:v>
      </x:c>
      <x:c r="M16" s="200" t="n">
        <x:v>0.4154753</x:v>
      </x:c>
      <x:c r="N16" s="196" t="n">
        <x:v>0</x:v>
      </x:c>
      <x:c r="O16" s="196" t="n">
        <x:v>0</x:v>
      </x:c>
      <x:c r="P16" s="196" t="n">
        <x:v>78772</x:v>
      </x:c>
      <x:c r="Q16" s="196" t="n">
        <x:v>20</x:v>
      </x:c>
      <x:c r="R16" s="196" t="str">
        <x:v>2/5</x:v>
      </x:c>
    </x:row>
    <x:row r="17">
      <x:c r="A17" s="196" t="str">
        <x:v>CFG-H-I</x:v>
      </x:c>
      <x:c r="B17" s="196" t="str">
        <x:v>high_density / stress</x:v>
      </x:c>
      <x:c r="C17" s="196" t="str">
        <x:v>WL-I</x:v>
      </x:c>
      <x:c r="D17" s="196" t="n">
        <x:v>5</x:v>
      </x:c>
      <x:c r="E17" s="197" t="n">
        <x:v>5</x:v>
      </x:c>
      <x:c r="F17" s="196" t="n">
        <x:v>76510</x:v>
      </x:c>
      <x:c r="G17" s="199" t="n">
        <x:v>109</x:v>
      </x:c>
      <x:c r="H17" s="196" t="str">
        <x:v>2101/2101/1834</x:v>
      </x:c>
      <x:c r="I17" s="196" t="n">
        <x:v>267</x:v>
      </x:c>
      <x:c r="J17" s="200" t="n">
        <x:v>12.8555912</x:v>
      </x:c>
      <x:c r="K17" s="200" t="n">
        <x:v>0.09549810759999999</x:v>
      </x:c>
      <x:c r="L17" s="200" t="n">
        <x:v>0.30717082</x:v>
      </x:c>
      <x:c r="M17" s="200" t="n">
        <x:v>0.5457594</x:v>
      </x:c>
      <x:c r="N17" s="196" t="n">
        <x:v>0</x:v>
      </x:c>
      <x:c r="O17" s="196" t="n">
        <x:v>0</x:v>
      </x:c>
      <x:c r="P17" s="196" t="n">
        <x:v>85626</x:v>
      </x:c>
      <x:c r="Q17" s="196" t="n">
        <x:v>3</x:v>
      </x:c>
      <x:c r="R17" s="196" t="str">
        <x:v>1/1</x:v>
      </x:c>
    </x:row>
    <x:row r="18">
      <x:c r="A18" s="196" t="str">
        <x:v>CFG-H-S</x:v>
      </x:c>
      <x:c r="B18" s="196" t="str">
        <x:v>high_density / stress</x:v>
      </x:c>
      <x:c r="C18" s="196" t="str">
        <x:v>WL-S</x:v>
      </x:c>
      <x:c r="D18" s="196" t="n">
        <x:v>5</x:v>
      </x:c>
      <x:c r="E18" s="197" t="n">
        <x:v>5</x:v>
      </x:c>
      <x:c r="F18" s="196" t="n">
        <x:v>76510</x:v>
      </x:c>
      <x:c r="G18" s="199" t="n">
        <x:v>178.8</x:v>
      </x:c>
      <x:c r="H18" s="196" t="str">
        <x:v>1670/1670/1285</x:v>
      </x:c>
      <x:c r="I18" s="196" t="n">
        <x:v>385</x:v>
      </x:c>
      <x:c r="J18" s="200" t="n">
        <x:v>23.0648132</x:v>
      </x:c>
      <x:c r="K18" s="200" t="n">
        <x:v>0.1382137152</x:v>
      </x:c>
      <x:c r="L18" s="200" t="n">
        <x:v>0.4720086</x:v>
      </x:c>
      <x:c r="M18" s="200" t="n">
        <x:v>0.6401189</x:v>
      </x:c>
      <x:c r="N18" s="196" t="n">
        <x:v>0</x:v>
      </x:c>
      <x:c r="O18" s="196" t="n">
        <x:v>0</x:v>
      </x:c>
      <x:c r="P18" s="196" t="n">
        <x:v>92256</x:v>
      </x:c>
      <x:c r="Q18" s="196" t="n">
        <x:v>0</x:v>
      </x:c>
      <x:c r="R18" s="196" t="str">
        <x:v>0/2</x:v>
      </x:c>
    </x:row>
    <x:row r="21">
      <x:c r="A21" s="187" t="str">
        <x:v>Run_ID</x:v>
      </x:c>
      <x:c r="B21" s="188" t="str">
        <x:v>Config</x:v>
      </x:c>
      <x:c r="C21" s="188" t="str">
        <x:v>Seed</x:v>
      </x:c>
      <x:c r="D21" s="188" t="str">
        <x:v>Replica</x:v>
      </x:c>
      <x:c r="E21" s="188" t="str">
        <x:v>Stato</x:v>
      </x:c>
      <x:c r="F21" s="188" t="str">
        <x:v>Run MOSAIC</x:v>
      </x:c>
      <x:c r="G21" s="188" t="str">
        <x:v>Task</x:v>
      </x:c>
      <x:c r="H21" s="188" t="str">
        <x:v>Pending</x:v>
      </x:c>
      <x:c r="I21" s="188" t="str">
        <x:v>GA sub.</x:v>
      </x:c>
      <x:c r="J21" s="188" t="str">
        <x:v>GA comp.</x:v>
      </x:c>
      <x:c r="K21" s="188" t="str">
        <x:v>GA appl.</x:v>
      </x:c>
      <x:c r="L21" s="188" t="str">
        <x:v>Stale</x:v>
      </x:c>
      <x:c r="M21" s="188" t="str">
        <x:v>Stale %</x:v>
      </x:c>
      <x:c r="N21" s="188" t="str">
        <x:v>Runtime medio</x:v>
      </x:c>
      <x:c r="O21" s="188" t="str">
        <x:v>P95</x:v>
      </x:c>
      <x:c r="P21" s="188" t="str">
        <x:v>Max</x:v>
      </x:c>
      <x:c r="Q21" s="188" t="str">
        <x:v>Lag</x:v>
      </x:c>
      <x:c r="R21" s="189" t="str">
        <x:v>Violazioni</x:v>
      </x:c>
    </x:row>
    <x:row r="22">
      <x:c r="A22" s="10" t="str">
        <x:v>L-E-01</x:v>
      </x:c>
      <x:c r="B22" s="10" t="str">
        <x:v>CFG-L-E</x:v>
      </x:c>
      <x:c r="C22" s="10" t="n">
        <x:v>104729</x:v>
      </x:c>
      <x:c r="D22" s="10" t="n">
        <x:v>1</x:v>
      </x:c>
      <x:c r="E22" s="195" t="str">
        <x:v>PASS</x:v>
      </x:c>
      <x:c r="F22" s="10" t="str">
        <x:v>log-20260623-001953-MaGaLiteratureBasedUrbanStudy</x:v>
      </x:c>
      <x:c r="G22" s="10" t="n">
        <x:v>5667</x:v>
      </x:c>
      <x:c r="H22" s="10" t="n">
        <x:v>17</x:v>
      </x:c>
      <x:c r="I22" s="10" t="n">
        <x:v>720</x:v>
      </x:c>
      <x:c r="J22" s="10" t="n">
        <x:v>720</x:v>
      </x:c>
      <x:c r="K22" s="10" t="n">
        <x:v>717</x:v>
      </x:c>
      <x:c r="L22" s="10" t="n">
        <x:v>3</x:v>
      </x:c>
      <x:c r="M22" s="117" t="n">
        <x:v>0.416667</x:v>
      </x:c>
      <x:c r="N22" s="117" t="n">
        <x:v>0.028436988</x:v>
      </x:c>
      <x:c r="O22" s="117" t="n">
        <x:v>0.0626592</x:v>
      </x:c>
      <x:c r="P22" s="117" t="n">
        <x:v>0.2303412</x:v>
      </x:c>
      <x:c r="Q22" s="201" t="n">
        <x:v>0</x:v>
      </x:c>
      <x:c r="R22" s="10" t="n">
        <x:v>0</x:v>
      </x:c>
    </x:row>
    <x:row r="23">
      <x:c r="A23" s="10" t="str">
        <x:v>L-E-02</x:v>
      </x:c>
      <x:c r="B23" s="10" t="str">
        <x:v>CFG-L-E</x:v>
      </x:c>
      <x:c r="C23" s="10" t="n">
        <x:v>130363</x:v>
      </x:c>
      <x:c r="D23" s="10" t="n">
        <x:v>2</x:v>
      </x:c>
      <x:c r="E23" s="195" t="str">
        <x:v>PASS</x:v>
      </x:c>
      <x:c r="F23" s="10" t="str">
        <x:v>log-20260623-002653-MaGaLiteratureBasedUrbanStudy</x:v>
      </x:c>
      <x:c r="G23" s="10" t="n">
        <x:v>5344</x:v>
      </x:c>
      <x:c r="H23" s="10" t="n">
        <x:v>24</x:v>
      </x:c>
      <x:c r="I23" s="10" t="n">
        <x:v>733</x:v>
      </x:c>
      <x:c r="J23" s="10" t="n">
        <x:v>733</x:v>
      </x:c>
      <x:c r="K23" s="10" t="n">
        <x:v>730</x:v>
      </x:c>
      <x:c r="L23" s="10" t="n">
        <x:v>3</x:v>
      </x:c>
      <x:c r="M23" s="117" t="n">
        <x:v>0.409277</x:v>
      </x:c>
      <x:c r="N23" s="117" t="n">
        <x:v>0.027098926</x:v>
      </x:c>
      <x:c r="O23" s="117" t="n">
        <x:v>0.0632448</x:v>
      </x:c>
      <x:c r="P23" s="117" t="n">
        <x:v>0.2216072</x:v>
      </x:c>
      <x:c r="Q23" s="201" t="n">
        <x:v>0</x:v>
      </x:c>
      <x:c r="R23" s="10" t="n">
        <x:v>0</x:v>
      </x:c>
    </x:row>
    <x:row r="24">
      <x:c r="A24" s="10" t="str">
        <x:v>L-E-03</x:v>
      </x:c>
      <x:c r="B24" s="10" t="str">
        <x:v>CFG-L-E</x:v>
      </x:c>
      <x:c r="C24" s="10" t="n">
        <x:v>155921</x:v>
      </x:c>
      <x:c r="D24" s="10" t="n">
        <x:v>3</x:v>
      </x:c>
      <x:c r="E24" s="195" t="str">
        <x:v>PASS</x:v>
      </x:c>
      <x:c r="F24" s="10" t="str">
        <x:v>log-20260623-002754-MaGaLiteratureBasedUrbanStudy</x:v>
      </x:c>
      <x:c r="G24" s="10" t="n">
        <x:v>5483</x:v>
      </x:c>
      <x:c r="H24" s="10" t="n">
        <x:v>33</x:v>
      </x:c>
      <x:c r="I24" s="10" t="n">
        <x:v>742</x:v>
      </x:c>
      <x:c r="J24" s="10" t="n">
        <x:v>742</x:v>
      </x:c>
      <x:c r="K24" s="10" t="n">
        <x:v>740</x:v>
      </x:c>
      <x:c r="L24" s="10" t="n">
        <x:v>2</x:v>
      </x:c>
      <x:c r="M24" s="117" t="n">
        <x:v>0.269542</x:v>
      </x:c>
      <x:c r="N24" s="117" t="n">
        <x:v>0.027786989</x:v>
      </x:c>
      <x:c r="O24" s="117" t="n">
        <x:v>0.0593128</x:v>
      </x:c>
      <x:c r="P24" s="117" t="n">
        <x:v>0.2299539</x:v>
      </x:c>
      <x:c r="Q24" s="201" t="n">
        <x:v>0</x:v>
      </x:c>
      <x:c r="R24" s="10" t="n">
        <x:v>0</x:v>
      </x:c>
    </x:row>
    <x:row r="25">
      <x:c r="A25" s="10" t="str">
        <x:v>L-E-04</x:v>
      </x:c>
      <x:c r="B25" s="10" t="str">
        <x:v>CFG-L-E</x:v>
      </x:c>
      <x:c r="C25" s="10" t="n">
        <x:v>181081</x:v>
      </x:c>
      <x:c r="D25" s="10" t="n">
        <x:v>4</x:v>
      </x:c>
      <x:c r="E25" s="195" t="str">
        <x:v>PASS</x:v>
      </x:c>
      <x:c r="F25" s="10" t="str">
        <x:v>log-20260623-002856-MaGaLiteratureBasedUrbanStudy</x:v>
      </x:c>
      <x:c r="G25" s="10" t="n">
        <x:v>5639</x:v>
      </x:c>
      <x:c r="H25" s="10" t="n">
        <x:v>25</x:v>
      </x:c>
      <x:c r="I25" s="10" t="n">
        <x:v>742</x:v>
      </x:c>
      <x:c r="J25" s="10" t="n">
        <x:v>742</x:v>
      </x:c>
      <x:c r="K25" s="10" t="n">
        <x:v>742</x:v>
      </x:c>
      <x:c r="L25" s="10" t="n">
        <x:v>0</x:v>
      </x:c>
      <x:c r="M25" s="117" t="n">
        <x:v>0</x:v>
      </x:c>
      <x:c r="N25" s="117" t="n">
        <x:v>0.026767745</x:v>
      </x:c>
      <x:c r="O25" s="117" t="n">
        <x:v>0.0562103</x:v>
      </x:c>
      <x:c r="P25" s="117" t="n">
        <x:v>0.1709861</x:v>
      </x:c>
      <x:c r="Q25" s="201" t="n">
        <x:v>0</x:v>
      </x:c>
      <x:c r="R25" s="10" t="n">
        <x:v>0</x:v>
      </x:c>
    </x:row>
    <x:row r="26">
      <x:c r="A26" s="10" t="str">
        <x:v>L-E-05</x:v>
      </x:c>
      <x:c r="B26" s="10" t="str">
        <x:v>CFG-L-E</x:v>
      </x:c>
      <x:c r="C26" s="10" t="n">
        <x:v>207547</x:v>
      </x:c>
      <x:c r="D26" s="10" t="n">
        <x:v>5</x:v>
      </x:c>
      <x:c r="E26" s="195" t="str">
        <x:v>PASS</x:v>
      </x:c>
      <x:c r="F26" s="10" t="str">
        <x:v>log-20260623-002958-MaGaLiteratureBasedUrbanStudy</x:v>
      </x:c>
      <x:c r="G26" s="10" t="n">
        <x:v>5365</x:v>
      </x:c>
      <x:c r="H26" s="10" t="n">
        <x:v>27</x:v>
      </x:c>
      <x:c r="I26" s="10" t="n">
        <x:v>838</x:v>
      </x:c>
      <x:c r="J26" s="10" t="n">
        <x:v>838</x:v>
      </x:c>
      <x:c r="K26" s="10" t="n">
        <x:v>838</x:v>
      </x:c>
      <x:c r="L26" s="10" t="n">
        <x:v>0</x:v>
      </x:c>
      <x:c r="M26" s="117" t="n">
        <x:v>0</x:v>
      </x:c>
      <x:c r="N26" s="117" t="n">
        <x:v>0.024082169</x:v>
      </x:c>
      <x:c r="O26" s="117" t="n">
        <x:v>0.0565359</x:v>
      </x:c>
      <x:c r="P26" s="117" t="n">
        <x:v>0.1942567</x:v>
      </x:c>
      <x:c r="Q26" s="201" t="n">
        <x:v>0</x:v>
      </x:c>
      <x:c r="R26" s="10" t="n">
        <x:v>0</x:v>
      </x:c>
    </x:row>
    <x:row r="27">
      <x:c r="A27" s="10" t="str">
        <x:v>L-I-01</x:v>
      </x:c>
      <x:c r="B27" s="10" t="str">
        <x:v>CFG-L-I</x:v>
      </x:c>
      <x:c r="C27" s="10" t="n">
        <x:v>104729</x:v>
      </x:c>
      <x:c r="D27" s="10" t="n">
        <x:v>1</x:v>
      </x:c>
      <x:c r="E27" s="195" t="str">
        <x:v>PASS</x:v>
      </x:c>
      <x:c r="F27" s="10" t="str">
        <x:v>log-20260623-010148-MaGaLiteratureBasedUrbanStudy</x:v>
      </x:c>
      <x:c r="G27" s="10" t="n">
        <x:v>5667</x:v>
      </x:c>
      <x:c r="H27" s="10" t="n">
        <x:v>23</x:v>
      </x:c>
      <x:c r="I27" s="10" t="n">
        <x:v>691</x:v>
      </x:c>
      <x:c r="J27" s="10" t="n">
        <x:v>691</x:v>
      </x:c>
      <x:c r="K27" s="10" t="n">
        <x:v>689</x:v>
      </x:c>
      <x:c r="L27" s="10" t="n">
        <x:v>2</x:v>
      </x:c>
      <x:c r="M27" s="117" t="n">
        <x:v>0.289436</x:v>
      </x:c>
      <x:c r="N27" s="117" t="n">
        <x:v>0.032326063</x:v>
      </x:c>
      <x:c r="O27" s="117" t="n">
        <x:v>0.0642462</x:v>
      </x:c>
      <x:c r="P27" s="117" t="n">
        <x:v>0.2820235</x:v>
      </x:c>
      <x:c r="Q27" s="201" t="n">
        <x:v>0</x:v>
      </x:c>
      <x:c r="R27" s="10" t="n">
        <x:v>0</x:v>
      </x:c>
    </x:row>
    <x:row r="28">
      <x:c r="A28" s="10" t="str">
        <x:v>L-I-02</x:v>
      </x:c>
      <x:c r="B28" s="10" t="str">
        <x:v>CFG-L-I</x:v>
      </x:c>
      <x:c r="C28" s="10" t="n">
        <x:v>130363</x:v>
      </x:c>
      <x:c r="D28" s="10" t="n">
        <x:v>2</x:v>
      </x:c>
      <x:c r="E28" s="195" t="str">
        <x:v>PASS</x:v>
      </x:c>
      <x:c r="F28" s="10" t="str">
        <x:v>log-20260623-010249-MaGaLiteratureBasedUrbanStudy</x:v>
      </x:c>
      <x:c r="G28" s="10" t="n">
        <x:v>5344</x:v>
      </x:c>
      <x:c r="H28" s="10" t="n">
        <x:v>32</x:v>
      </x:c>
      <x:c r="I28" s="10" t="n">
        <x:v>723</x:v>
      </x:c>
      <x:c r="J28" s="10" t="n">
        <x:v>723</x:v>
      </x:c>
      <x:c r="K28" s="10" t="n">
        <x:v>722</x:v>
      </x:c>
      <x:c r="L28" s="10" t="n">
        <x:v>1</x:v>
      </x:c>
      <x:c r="M28" s="117" t="n">
        <x:v>0.138313</x:v>
      </x:c>
      <x:c r="N28" s="117" t="n">
        <x:v>0.028165524</x:v>
      </x:c>
      <x:c r="O28" s="117" t="n">
        <x:v>0.0614402</x:v>
      </x:c>
      <x:c r="P28" s="117" t="n">
        <x:v>0.2409254</x:v>
      </x:c>
      <x:c r="Q28" s="201" t="n">
        <x:v>0</x:v>
      </x:c>
      <x:c r="R28" s="10" t="n">
        <x:v>0</x:v>
      </x:c>
    </x:row>
    <x:row r="29">
      <x:c r="A29" s="10" t="str">
        <x:v>L-I-03</x:v>
      </x:c>
      <x:c r="B29" s="10" t="str">
        <x:v>CFG-L-I</x:v>
      </x:c>
      <x:c r="C29" s="10" t="n">
        <x:v>155921</x:v>
      </x:c>
      <x:c r="D29" s="10" t="n">
        <x:v>3</x:v>
      </x:c>
      <x:c r="E29" s="195" t="str">
        <x:v>PASS</x:v>
      </x:c>
      <x:c r="F29" s="10" t="str">
        <x:v>log-20260623-010350-MaGaLiteratureBasedUrbanStudy</x:v>
      </x:c>
      <x:c r="G29" s="10" t="n">
        <x:v>5483</x:v>
      </x:c>
      <x:c r="H29" s="10" t="n">
        <x:v>41</x:v>
      </x:c>
      <x:c r="I29" s="10" t="n">
        <x:v>718</x:v>
      </x:c>
      <x:c r="J29" s="10" t="n">
        <x:v>718</x:v>
      </x:c>
      <x:c r="K29" s="10" t="n">
        <x:v>718</x:v>
      </x:c>
      <x:c r="L29" s="10" t="n">
        <x:v>0</x:v>
      </x:c>
      <x:c r="M29" s="117" t="n">
        <x:v>0</x:v>
      </x:c>
      <x:c r="N29" s="117" t="n">
        <x:v>0.028172077</x:v>
      </x:c>
      <x:c r="O29" s="117" t="n">
        <x:v>0.0581785</x:v>
      </x:c>
      <x:c r="P29" s="117" t="n">
        <x:v>0.1368229</x:v>
      </x:c>
      <x:c r="Q29" s="201" t="n">
        <x:v>0</x:v>
      </x:c>
      <x:c r="R29" s="10" t="n">
        <x:v>0</x:v>
      </x:c>
    </x:row>
    <x:row r="30">
      <x:c r="A30" s="10" t="str">
        <x:v>L-I-04</x:v>
      </x:c>
      <x:c r="B30" s="10" t="str">
        <x:v>CFG-L-I</x:v>
      </x:c>
      <x:c r="C30" s="10" t="n">
        <x:v>181081</x:v>
      </x:c>
      <x:c r="D30" s="10" t="n">
        <x:v>4</x:v>
      </x:c>
      <x:c r="E30" s="195" t="str">
        <x:v>PASS</x:v>
      </x:c>
      <x:c r="F30" s="10" t="str">
        <x:v>log-20260623-010452-MaGaLiteratureBasedUrbanStudy</x:v>
      </x:c>
      <x:c r="G30" s="10" t="n">
        <x:v>5639</x:v>
      </x:c>
      <x:c r="H30" s="10" t="n">
        <x:v>35</x:v>
      </x:c>
      <x:c r="I30" s="10" t="n">
        <x:v>687</x:v>
      </x:c>
      <x:c r="J30" s="10" t="n">
        <x:v>687</x:v>
      </x:c>
      <x:c r="K30" s="10" t="n">
        <x:v>686</x:v>
      </x:c>
      <x:c r="L30" s="10" t="n">
        <x:v>1</x:v>
      </x:c>
      <x:c r="M30" s="117" t="n">
        <x:v>0.14556</x:v>
      </x:c>
      <x:c r="N30" s="117" t="n">
        <x:v>0.030883576</x:v>
      </x:c>
      <x:c r="O30" s="117" t="n">
        <x:v>0.0581269</x:v>
      </x:c>
      <x:c r="P30" s="117" t="n">
        <x:v>0.206927</x:v>
      </x:c>
      <x:c r="Q30" s="201" t="n">
        <x:v>0</x:v>
      </x:c>
      <x:c r="R30" s="10" t="n">
        <x:v>0</x:v>
      </x:c>
    </x:row>
    <x:row r="31">
      <x:c r="A31" s="10" t="str">
        <x:v>L-I-05</x:v>
      </x:c>
      <x:c r="B31" s="10" t="str">
        <x:v>CFG-L-I</x:v>
      </x:c>
      <x:c r="C31" s="10" t="n">
        <x:v>207547</x:v>
      </x:c>
      <x:c r="D31" s="10" t="n">
        <x:v>5</x:v>
      </x:c>
      <x:c r="E31" s="195" t="str">
        <x:v>PASS</x:v>
      </x:c>
      <x:c r="F31" s="10" t="str">
        <x:v>log-20260623-010554-MaGaLiteratureBasedUrbanStudy</x:v>
      </x:c>
      <x:c r="G31" s="10" t="n">
        <x:v>5365</x:v>
      </x:c>
      <x:c r="H31" s="10" t="n">
        <x:v>31</x:v>
      </x:c>
      <x:c r="I31" s="10" t="n">
        <x:v>728</x:v>
      </x:c>
      <x:c r="J31" s="10" t="n">
        <x:v>728</x:v>
      </x:c>
      <x:c r="K31" s="10" t="n">
        <x:v>726</x:v>
      </x:c>
      <x:c r="L31" s="10" t="n">
        <x:v>2</x:v>
      </x:c>
      <x:c r="M31" s="117" t="n">
        <x:v>0.274725</x:v>
      </x:c>
      <x:c r="N31" s="117" t="n">
        <x:v>0.028691731</x:v>
      </x:c>
      <x:c r="O31" s="117" t="n">
        <x:v>0.0630132</x:v>
      </x:c>
      <x:c r="P31" s="117" t="n">
        <x:v>0.2951016</x:v>
      </x:c>
      <x:c r="Q31" s="201" t="n">
        <x:v>0</x:v>
      </x:c>
      <x:c r="R31" s="10" t="n">
        <x:v>0</x:v>
      </x:c>
    </x:row>
    <x:row r="32">
      <x:c r="A32" s="10" t="str">
        <x:v>L-S-01</x:v>
      </x:c>
      <x:c r="B32" s="10" t="str">
        <x:v>CFG-L-S</x:v>
      </x:c>
      <x:c r="C32" s="10" t="n">
        <x:v>104729</x:v>
      </x:c>
      <x:c r="D32" s="10" t="n">
        <x:v>1</x:v>
      </x:c>
      <x:c r="E32" s="195" t="str">
        <x:v>PASS</x:v>
      </x:c>
      <x:c r="F32" s="10" t="str">
        <x:v>log-20260623-010936-MaGaLiteratureBasedUrbanStudy</x:v>
      </x:c>
      <x:c r="G32" s="10" t="n">
        <x:v>5667</x:v>
      </x:c>
      <x:c r="H32" s="10" t="n">
        <x:v>47</x:v>
      </x:c>
      <x:c r="I32" s="10" t="n">
        <x:v>581</x:v>
      </x:c>
      <x:c r="J32" s="10" t="n">
        <x:v>581</x:v>
      </x:c>
      <x:c r="K32" s="10" t="n">
        <x:v>580</x:v>
      </x:c>
      <x:c r="L32" s="10" t="n">
        <x:v>1</x:v>
      </x:c>
      <x:c r="M32" s="117" t="n">
        <x:v>0.172117</x:v>
      </x:c>
      <x:c r="N32" s="117" t="n">
        <x:v>0.045631939</x:v>
      </x:c>
      <x:c r="O32" s="117" t="n">
        <x:v>0.0906202</x:v>
      </x:c>
      <x:c r="P32" s="117" t="n">
        <x:v>0.2148758</x:v>
      </x:c>
      <x:c r="Q32" s="201" t="n">
        <x:v>0</x:v>
      </x:c>
      <x:c r="R32" s="10" t="n">
        <x:v>0</x:v>
      </x:c>
    </x:row>
    <x:row r="33">
      <x:c r="A33" s="10" t="str">
        <x:v>L-S-02</x:v>
      </x:c>
      <x:c r="B33" s="10" t="str">
        <x:v>CFG-L-S</x:v>
      </x:c>
      <x:c r="C33" s="10" t="n">
        <x:v>130363</x:v>
      </x:c>
      <x:c r="D33" s="10" t="n">
        <x:v>2</x:v>
      </x:c>
      <x:c r="E33" s="195" t="str">
        <x:v>PASS</x:v>
      </x:c>
      <x:c r="F33" s="10" t="str">
        <x:v>log-20260623-011038-MaGaLiteratureBasedUrbanStudy</x:v>
      </x:c>
      <x:c r="G33" s="10" t="n">
        <x:v>5344</x:v>
      </x:c>
      <x:c r="H33" s="10" t="n">
        <x:v>51</x:v>
      </x:c>
      <x:c r="I33" s="10" t="n">
        <x:v>620</x:v>
      </x:c>
      <x:c r="J33" s="10" t="n">
        <x:v>620</x:v>
      </x:c>
      <x:c r="K33" s="10" t="n">
        <x:v>620</x:v>
      </x:c>
      <x:c r="L33" s="10" t="n">
        <x:v>0</x:v>
      </x:c>
      <x:c r="M33" s="117" t="n">
        <x:v>0</x:v>
      </x:c>
      <x:c r="N33" s="117" t="n">
        <x:v>0.03912211</x:v>
      </x:c>
      <x:c r="O33" s="117" t="n">
        <x:v>0.0815374</x:v>
      </x:c>
      <x:c r="P33" s="117" t="n">
        <x:v>0.1412085</x:v>
      </x:c>
      <x:c r="Q33" s="201" t="n">
        <x:v>0</x:v>
      </x:c>
      <x:c r="R33" s="10" t="n">
        <x:v>0</x:v>
      </x:c>
    </x:row>
    <x:row r="34">
      <x:c r="A34" s="10" t="str">
        <x:v>L-S-03</x:v>
      </x:c>
      <x:c r="B34" s="10" t="str">
        <x:v>CFG-L-S</x:v>
      </x:c>
      <x:c r="C34" s="10" t="n">
        <x:v>155921</x:v>
      </x:c>
      <x:c r="D34" s="10" t="n">
        <x:v>3</x:v>
      </x:c>
      <x:c r="E34" s="195" t="str">
        <x:v>PASS</x:v>
      </x:c>
      <x:c r="F34" s="10" t="str">
        <x:v>log-20260623-011139-MaGaLiteratureBasedUrbanStudy</x:v>
      </x:c>
      <x:c r="G34" s="10" t="n">
        <x:v>5483</x:v>
      </x:c>
      <x:c r="H34" s="10" t="n">
        <x:v>59</x:v>
      </x:c>
      <x:c r="I34" s="10" t="n">
        <x:v>602</x:v>
      </x:c>
      <x:c r="J34" s="10" t="n">
        <x:v>602</x:v>
      </x:c>
      <x:c r="K34" s="10" t="n">
        <x:v>602</x:v>
      </x:c>
      <x:c r="L34" s="10" t="n">
        <x:v>0</x:v>
      </x:c>
      <x:c r="M34" s="117" t="n">
        <x:v>0</x:v>
      </x:c>
      <x:c r="N34" s="117" t="n">
        <x:v>0.039330883</x:v>
      </x:c>
      <x:c r="O34" s="117" t="n">
        <x:v>0.0754127</x:v>
      </x:c>
      <x:c r="P34" s="117" t="n">
        <x:v>0.1238624</x:v>
      </x:c>
      <x:c r="Q34" s="201" t="n">
        <x:v>0</x:v>
      </x:c>
      <x:c r="R34" s="10" t="n">
        <x:v>0</x:v>
      </x:c>
    </x:row>
    <x:row r="35">
      <x:c r="A35" s="10" t="str">
        <x:v>L-S-04</x:v>
      </x:c>
      <x:c r="B35" s="10" t="str">
        <x:v>CFG-L-S</x:v>
      </x:c>
      <x:c r="C35" s="10" t="n">
        <x:v>181081</x:v>
      </x:c>
      <x:c r="D35" s="10" t="n">
        <x:v>4</x:v>
      </x:c>
      <x:c r="E35" s="195" t="str">
        <x:v>PASS</x:v>
      </x:c>
      <x:c r="F35" s="10" t="str">
        <x:v>log-20260623-011241-MaGaLiteratureBasedUrbanStudy</x:v>
      </x:c>
      <x:c r="G35" s="10" t="n">
        <x:v>5639</x:v>
      </x:c>
      <x:c r="H35" s="10" t="n">
        <x:v>51</x:v>
      </x:c>
      <x:c r="I35" s="10" t="n">
        <x:v>604</x:v>
      </x:c>
      <x:c r="J35" s="10" t="n">
        <x:v>604</x:v>
      </x:c>
      <x:c r="K35" s="10" t="n">
        <x:v>604</x:v>
      </x:c>
      <x:c r="L35" s="10" t="n">
        <x:v>0</x:v>
      </x:c>
      <x:c r="M35" s="117" t="n">
        <x:v>0</x:v>
      </x:c>
      <x:c r="N35" s="117" t="n">
        <x:v>0.041333502</x:v>
      </x:c>
      <x:c r="O35" s="117" t="n">
        <x:v>0.0772363</x:v>
      </x:c>
      <x:c r="P35" s="117" t="n">
        <x:v>0.1629085</x:v>
      </x:c>
      <x:c r="Q35" s="201" t="n">
        <x:v>0</x:v>
      </x:c>
      <x:c r="R35" s="10" t="n">
        <x:v>0</x:v>
      </x:c>
    </x:row>
    <x:row r="36">
      <x:c r="A36" s="10" t="str">
        <x:v>L-S-05</x:v>
      </x:c>
      <x:c r="B36" s="10" t="str">
        <x:v>CFG-L-S</x:v>
      </x:c>
      <x:c r="C36" s="10" t="n">
        <x:v>207547</x:v>
      </x:c>
      <x:c r="D36" s="10" t="n">
        <x:v>5</x:v>
      </x:c>
      <x:c r="E36" s="195" t="str">
        <x:v>PASS</x:v>
      </x:c>
      <x:c r="F36" s="10" t="str">
        <x:v>log-20260623-011342-MaGaLiteratureBasedUrbanStudy</x:v>
      </x:c>
      <x:c r="G36" s="10" t="n">
        <x:v>5365</x:v>
      </x:c>
      <x:c r="H36" s="10" t="n">
        <x:v>54</x:v>
      </x:c>
      <x:c r="I36" s="10" t="n">
        <x:v>623</x:v>
      </x:c>
      <x:c r="J36" s="10" t="n">
        <x:v>623</x:v>
      </x:c>
      <x:c r="K36" s="10" t="n">
        <x:v>623</x:v>
      </x:c>
      <x:c r="L36" s="10" t="n">
        <x:v>0</x:v>
      </x:c>
      <x:c r="M36" s="117" t="n">
        <x:v>0</x:v>
      </x:c>
      <x:c r="N36" s="117" t="n">
        <x:v>0.038520148</x:v>
      </x:c>
      <x:c r="O36" s="117" t="n">
        <x:v>0.0799045</x:v>
      </x:c>
      <x:c r="P36" s="117" t="n">
        <x:v>0.1674939</x:v>
      </x:c>
      <x:c r="Q36" s="201" t="n">
        <x:v>0</x:v>
      </x:c>
      <x:c r="R36" s="10" t="n">
        <x:v>0</x:v>
      </x:c>
    </x:row>
    <x:row r="37">
      <x:c r="A37" s="10" t="str">
        <x:v>N-E-01</x:v>
      </x:c>
      <x:c r="B37" s="10" t="str">
        <x:v>CFG-N-E</x:v>
      </x:c>
      <x:c r="C37" s="10" t="n">
        <x:v>104729</x:v>
      </x:c>
      <x:c r="D37" s="10" t="n">
        <x:v>1</x:v>
      </x:c>
      <x:c r="E37" s="195" t="str">
        <x:v>PASS</x:v>
      </x:c>
      <x:c r="F37" s="10" t="str">
        <x:v>log-20260623-011651-MaGaLiteratureBasedUrbanStudy</x:v>
      </x:c>
      <x:c r="G37" s="10" t="n">
        <x:v>9306</x:v>
      </x:c>
      <x:c r="H37" s="10" t="n">
        <x:v>56</x:v>
      </x:c>
      <x:c r="I37" s="10" t="n">
        <x:v>564</x:v>
      </x:c>
      <x:c r="J37" s="10" t="n">
        <x:v>564</x:v>
      </x:c>
      <x:c r="K37" s="10" t="n">
        <x:v>561</x:v>
      </x:c>
      <x:c r="L37" s="10" t="n">
        <x:v>3</x:v>
      </x:c>
      <x:c r="M37" s="117" t="n">
        <x:v>0.531915</x:v>
      </x:c>
      <x:c r="N37" s="117" t="n">
        <x:v>0.060684438</x:v>
      </x:c>
      <x:c r="O37" s="117" t="n">
        <x:v>0.1427737</x:v>
      </x:c>
      <x:c r="P37" s="117" t="n">
        <x:v>0.2600145</x:v>
      </x:c>
      <x:c r="Q37" s="201" t="n">
        <x:v>0</x:v>
      </x:c>
      <x:c r="R37" s="10" t="n">
        <x:v>0</x:v>
      </x:c>
    </x:row>
    <x:row r="38">
      <x:c r="A38" s="10" t="str">
        <x:v>N-E-02</x:v>
      </x:c>
      <x:c r="B38" s="10" t="str">
        <x:v>CFG-N-E</x:v>
      </x:c>
      <x:c r="C38" s="10" t="n">
        <x:v>130363</x:v>
      </x:c>
      <x:c r="D38" s="10" t="n">
        <x:v>2</x:v>
      </x:c>
      <x:c r="E38" s="195" t="str">
        <x:v>PASS</x:v>
      </x:c>
      <x:c r="F38" s="10" t="str">
        <x:v>log-20260623-011808-MaGaLiteratureBasedUrbanStudy</x:v>
      </x:c>
      <x:c r="G38" s="10" t="n">
        <x:v>9429</x:v>
      </x:c>
      <x:c r="H38" s="10" t="n">
        <x:v>43</x:v>
      </x:c>
      <x:c r="I38" s="10" t="n">
        <x:v>556</x:v>
      </x:c>
      <x:c r="J38" s="10" t="n">
        <x:v>556</x:v>
      </x:c>
      <x:c r="K38" s="10" t="n">
        <x:v>555</x:v>
      </x:c>
      <x:c r="L38" s="10" t="n">
        <x:v>1</x:v>
      </x:c>
      <x:c r="M38" s="117" t="n">
        <x:v>0.179856</x:v>
      </x:c>
      <x:c r="N38" s="117" t="n">
        <x:v>0.061293372</x:v>
      </x:c>
      <x:c r="O38" s="117" t="n">
        <x:v>0.1311775</x:v>
      </x:c>
      <x:c r="P38" s="117" t="n">
        <x:v>0.2123071</x:v>
      </x:c>
      <x:c r="Q38" s="201" t="n">
        <x:v>0</x:v>
      </x:c>
      <x:c r="R38" s="10" t="n">
        <x:v>0</x:v>
      </x:c>
    </x:row>
    <x:row r="39">
      <x:c r="A39" s="10" t="str">
        <x:v>N-E-03</x:v>
      </x:c>
      <x:c r="B39" s="10" t="str">
        <x:v>CFG-N-E</x:v>
      </x:c>
      <x:c r="C39" s="10" t="n">
        <x:v>155921</x:v>
      </x:c>
      <x:c r="D39" s="10" t="n">
        <x:v>3</x:v>
      </x:c>
      <x:c r="E39" s="195" t="str">
        <x:v>PASS</x:v>
      </x:c>
      <x:c r="F39" s="10" t="str">
        <x:v>log-20260623-011924-MaGaLiteratureBasedUrbanStudy</x:v>
      </x:c>
      <x:c r="G39" s="10" t="n">
        <x:v>9322</x:v>
      </x:c>
      <x:c r="H39" s="10" t="n">
        <x:v>56</x:v>
      </x:c>
      <x:c r="I39" s="10" t="n">
        <x:v>593</x:v>
      </x:c>
      <x:c r="J39" s="10" t="n">
        <x:v>593</x:v>
      </x:c>
      <x:c r="K39" s="10" t="n">
        <x:v>592</x:v>
      </x:c>
      <x:c r="L39" s="10" t="n">
        <x:v>1</x:v>
      </x:c>
      <x:c r="M39" s="117" t="n">
        <x:v>0.168634</x:v>
      </x:c>
      <x:c r="N39" s="117" t="n">
        <x:v>0.053767167</x:v>
      </x:c>
      <x:c r="O39" s="117" t="n">
        <x:v>0.1229464</x:v>
      </x:c>
      <x:c r="P39" s="117" t="n">
        <x:v>0.2148385</x:v>
      </x:c>
      <x:c r="Q39" s="201" t="n">
        <x:v>0</x:v>
      </x:c>
      <x:c r="R39" s="10" t="n">
        <x:v>0</x:v>
      </x:c>
    </x:row>
    <x:row r="40">
      <x:c r="A40" s="10" t="str">
        <x:v>N-E-04</x:v>
      </x:c>
      <x:c r="B40" s="10" t="str">
        <x:v>CFG-N-E</x:v>
      </x:c>
      <x:c r="C40" s="10" t="n">
        <x:v>181081</x:v>
      </x:c>
      <x:c r="D40" s="10" t="n">
        <x:v>4</x:v>
      </x:c>
      <x:c r="E40" s="195" t="str">
        <x:v>PASS</x:v>
      </x:c>
      <x:c r="F40" s="10" t="str">
        <x:v>log-20260623-012041-MaGaLiteratureBasedUrbanStudy</x:v>
      </x:c>
      <x:c r="G40" s="10" t="n">
        <x:v>9413</x:v>
      </x:c>
      <x:c r="H40" s="10" t="n">
        <x:v>57</x:v>
      </x:c>
      <x:c r="I40" s="10" t="n">
        <x:v>642</x:v>
      </x:c>
      <x:c r="J40" s="10" t="n">
        <x:v>642</x:v>
      </x:c>
      <x:c r="K40" s="10" t="n">
        <x:v>642</x:v>
      </x:c>
      <x:c r="L40" s="10" t="n">
        <x:v>0</x:v>
      </x:c>
      <x:c r="M40" s="117" t="n">
        <x:v>0</x:v>
      </x:c>
      <x:c r="N40" s="117" t="n">
        <x:v>0.051742953</x:v>
      </x:c>
      <x:c r="O40" s="117" t="n">
        <x:v>0.1201336</x:v>
      </x:c>
      <x:c r="P40" s="117" t="n">
        <x:v>0.185062</x:v>
      </x:c>
      <x:c r="Q40" s="201" t="n">
        <x:v>0</x:v>
      </x:c>
      <x:c r="R40" s="10" t="n">
        <x:v>0</x:v>
      </x:c>
    </x:row>
    <x:row r="41">
      <x:c r="A41" s="10" t="str">
        <x:v>N-E-05</x:v>
      </x:c>
      <x:c r="B41" s="10" t="str">
        <x:v>CFG-N-E</x:v>
      </x:c>
      <x:c r="C41" s="10" t="n">
        <x:v>207547</x:v>
      </x:c>
      <x:c r="D41" s="10" t="n">
        <x:v>5</x:v>
      </x:c>
      <x:c r="E41" s="195" t="str">
        <x:v>PASS</x:v>
      </x:c>
      <x:c r="F41" s="10" t="str">
        <x:v>log-20260623-012157-MaGaLiteratureBasedUrbanStudy</x:v>
      </x:c>
      <x:c r="G41" s="10" t="n">
        <x:v>9005</x:v>
      </x:c>
      <x:c r="H41" s="10" t="n">
        <x:v>44</x:v>
      </x:c>
      <x:c r="I41" s="10" t="n">
        <x:v>581</x:v>
      </x:c>
      <x:c r="J41" s="10" t="n">
        <x:v>581</x:v>
      </x:c>
      <x:c r="K41" s="10" t="n">
        <x:v>579</x:v>
      </x:c>
      <x:c r="L41" s="10" t="n">
        <x:v>2</x:v>
      </x:c>
      <x:c r="M41" s="117" t="n">
        <x:v>0.344234</x:v>
      </x:c>
      <x:c r="N41" s="117" t="n">
        <x:v>0.057177933</x:v>
      </x:c>
      <x:c r="O41" s="117" t="n">
        <x:v>0.1220621</x:v>
      </x:c>
      <x:c r="P41" s="117" t="n">
        <x:v>0.2156549</x:v>
      </x:c>
      <x:c r="Q41" s="201" t="n">
        <x:v>0</x:v>
      </x:c>
      <x:c r="R41" s="10" t="n">
        <x:v>0</x:v>
      </x:c>
    </x:row>
    <x:row r="42">
      <x:c r="A42" s="10" t="str">
        <x:v>N-I-01</x:v>
      </x:c>
      <x:c r="B42" s="10" t="str">
        <x:v>CFG-N-I</x:v>
      </x:c>
      <x:c r="C42" s="10" t="n">
        <x:v>104729</x:v>
      </x:c>
      <x:c r="D42" s="10" t="n">
        <x:v>1</x:v>
      </x:c>
      <x:c r="E42" s="195" t="str">
        <x:v>PASS</x:v>
      </x:c>
      <x:c r="F42" s="10" t="str">
        <x:v>log-20260623-013354-MaGaLiteratureBasedUrbanStudy</x:v>
      </x:c>
      <x:c r="G42" s="10" t="n">
        <x:v>9306</x:v>
      </x:c>
      <x:c r="H42" s="10" t="n">
        <x:v>65</x:v>
      </x:c>
      <x:c r="I42" s="10" t="n">
        <x:v>552</x:v>
      </x:c>
      <x:c r="J42" s="10" t="n">
        <x:v>552</x:v>
      </x:c>
      <x:c r="K42" s="10" t="n">
        <x:v>548</x:v>
      </x:c>
      <x:c r="L42" s="10" t="n">
        <x:v>4</x:v>
      </x:c>
      <x:c r="M42" s="117" t="n">
        <x:v>0.724638</x:v>
      </x:c>
      <x:c r="N42" s="117" t="n">
        <x:v>0.067955196</x:v>
      </x:c>
      <x:c r="O42" s="117" t="n">
        <x:v>0.1570132</x:v>
      </x:c>
      <x:c r="P42" s="117" t="n">
        <x:v>0.3080391</x:v>
      </x:c>
      <x:c r="Q42" s="201" t="n">
        <x:v>0</x:v>
      </x:c>
      <x:c r="R42" s="10" t="n">
        <x:v>0</x:v>
      </x:c>
    </x:row>
    <x:row r="43">
      <x:c r="A43" s="10" t="str">
        <x:v>N-I-02</x:v>
      </x:c>
      <x:c r="B43" s="10" t="str">
        <x:v>CFG-N-I</x:v>
      </x:c>
      <x:c r="C43" s="10" t="n">
        <x:v>130363</x:v>
      </x:c>
      <x:c r="D43" s="10" t="n">
        <x:v>2</x:v>
      </x:c>
      <x:c r="E43" s="195" t="str">
        <x:v>PASS</x:v>
      </x:c>
      <x:c r="F43" s="10" t="str">
        <x:v>log-20260623-013510-MaGaLiteratureBasedUrbanStudy</x:v>
      </x:c>
      <x:c r="G43" s="10" t="n">
        <x:v>9429</x:v>
      </x:c>
      <x:c r="H43" s="10" t="n">
        <x:v>52</x:v>
      </x:c>
      <x:c r="I43" s="10" t="n">
        <x:v>539</x:v>
      </x:c>
      <x:c r="J43" s="10" t="n">
        <x:v>539</x:v>
      </x:c>
      <x:c r="K43" s="10" t="n">
        <x:v>536</x:v>
      </x:c>
      <x:c r="L43" s="10" t="n">
        <x:v>3</x:v>
      </x:c>
      <x:c r="M43" s="117" t="n">
        <x:v>0.556586</x:v>
      </x:c>
      <x:c r="N43" s="117" t="n">
        <x:v>0.066854777</x:v>
      </x:c>
      <x:c r="O43" s="117" t="n">
        <x:v>0.1425688</x:v>
      </x:c>
      <x:c r="P43" s="117" t="n">
        <x:v>0.2480971</x:v>
      </x:c>
      <x:c r="Q43" s="201" t="n">
        <x:v>0</x:v>
      </x:c>
      <x:c r="R43" s="10" t="n">
        <x:v>0</x:v>
      </x:c>
    </x:row>
    <x:row r="44">
      <x:c r="A44" s="10" t="str">
        <x:v>N-I-03</x:v>
      </x:c>
      <x:c r="B44" s="10" t="str">
        <x:v>CFG-N-I</x:v>
      </x:c>
      <x:c r="C44" s="10" t="n">
        <x:v>155921</x:v>
      </x:c>
      <x:c r="D44" s="10" t="n">
        <x:v>3</x:v>
      </x:c>
      <x:c r="E44" s="195" t="str">
        <x:v>PASS</x:v>
      </x:c>
      <x:c r="F44" s="10" t="str">
        <x:v>log-20260623-013627-MaGaLiteratureBasedUrbanStudy</x:v>
      </x:c>
      <x:c r="G44" s="10" t="n">
        <x:v>9322</x:v>
      </x:c>
      <x:c r="H44" s="10" t="n">
        <x:v>64</x:v>
      </x:c>
      <x:c r="I44" s="10" t="n">
        <x:v>544</x:v>
      </x:c>
      <x:c r="J44" s="10" t="n">
        <x:v>544</x:v>
      </x:c>
      <x:c r="K44" s="10" t="n">
        <x:v>542</x:v>
      </x:c>
      <x:c r="L44" s="10" t="n">
        <x:v>2</x:v>
      </x:c>
      <x:c r="M44" s="117" t="n">
        <x:v>0.367647</x:v>
      </x:c>
      <x:c r="N44" s="117" t="n">
        <x:v>0.064783972</x:v>
      </x:c>
      <x:c r="O44" s="117" t="n">
        <x:v>0.1441777</x:v>
      </x:c>
      <x:c r="P44" s="117" t="n">
        <x:v>0.2273869</x:v>
      </x:c>
      <x:c r="Q44" s="201" t="n">
        <x:v>0</x:v>
      </x:c>
      <x:c r="R44" s="10" t="n">
        <x:v>0</x:v>
      </x:c>
    </x:row>
    <x:row r="45">
      <x:c r="A45" s="10" t="str">
        <x:v>N-I-04</x:v>
      </x:c>
      <x:c r="B45" s="10" t="str">
        <x:v>CFG-N-I</x:v>
      </x:c>
      <x:c r="C45" s="10" t="n">
        <x:v>181081</x:v>
      </x:c>
      <x:c r="D45" s="10" t="n">
        <x:v>4</x:v>
      </x:c>
      <x:c r="E45" s="195" t="str">
        <x:v>PASS</x:v>
      </x:c>
      <x:c r="F45" s="10" t="str">
        <x:v>log-20260623-013743-MaGaLiteratureBasedUrbanStudy</x:v>
      </x:c>
      <x:c r="G45" s="10" t="n">
        <x:v>9413</x:v>
      </x:c>
      <x:c r="H45" s="10" t="n">
        <x:v>69</x:v>
      </x:c>
      <x:c r="I45" s="10" t="n">
        <x:v>592</x:v>
      </x:c>
      <x:c r="J45" s="10" t="n">
        <x:v>592</x:v>
      </x:c>
      <x:c r="K45" s="10" t="n">
        <x:v>592</x:v>
      </x:c>
      <x:c r="L45" s="10" t="n">
        <x:v>0</x:v>
      </x:c>
      <x:c r="M45" s="117" t="n">
        <x:v>0</x:v>
      </x:c>
      <x:c r="N45" s="117" t="n">
        <x:v>0.061698262</x:v>
      </x:c>
      <x:c r="O45" s="117" t="n">
        <x:v>0.1420867</x:v>
      </x:c>
      <x:c r="P45" s="117" t="n">
        <x:v>0.188725</x:v>
      </x:c>
      <x:c r="Q45" s="201" t="n">
        <x:v>0</x:v>
      </x:c>
      <x:c r="R45" s="10" t="n">
        <x:v>0</x:v>
      </x:c>
    </x:row>
    <x:row r="46">
      <x:c r="A46" s="10" t="str">
        <x:v>N-I-05</x:v>
      </x:c>
      <x:c r="B46" s="10" t="str">
        <x:v>CFG-N-I</x:v>
      </x:c>
      <x:c r="C46" s="10" t="n">
        <x:v>207547</x:v>
      </x:c>
      <x:c r="D46" s="10" t="n">
        <x:v>5</x:v>
      </x:c>
      <x:c r="E46" s="195" t="str">
        <x:v>PASS</x:v>
      </x:c>
      <x:c r="F46" s="10" t="str">
        <x:v>log-20260623-013859-MaGaLiteratureBasedUrbanStudy</x:v>
      </x:c>
      <x:c r="G46" s="10" t="n">
        <x:v>9005</x:v>
      </x:c>
      <x:c r="H46" s="10" t="n">
        <x:v>55</x:v>
      </x:c>
      <x:c r="I46" s="10" t="n">
        <x:v>529</x:v>
      </x:c>
      <x:c r="J46" s="10" t="n">
        <x:v>529</x:v>
      </x:c>
      <x:c r="K46" s="10" t="n">
        <x:v>527</x:v>
      </x:c>
      <x:c r="L46" s="10" t="n">
        <x:v>2</x:v>
      </x:c>
      <x:c r="M46" s="117" t="n">
        <x:v>0.378072</x:v>
      </x:c>
      <x:c r="N46" s="117" t="n">
        <x:v>0.066523298</x:v>
      </x:c>
      <x:c r="O46" s="117" t="n">
        <x:v>0.1444141</x:v>
      </x:c>
      <x:c r="P46" s="117" t="n">
        <x:v>0.2114997</x:v>
      </x:c>
      <x:c r="Q46" s="201" t="n">
        <x:v>0</x:v>
      </x:c>
      <x:c r="R46" s="10" t="n">
        <x:v>0</x:v>
      </x:c>
    </x:row>
    <x:row r="47">
      <x:c r="A47" s="10" t="str">
        <x:v>N-S-01</x:v>
      </x:c>
      <x:c r="B47" s="10" t="str">
        <x:v>CFG-N-S</x:v>
      </x:c>
      <x:c r="C47" s="10" t="n">
        <x:v>104729</x:v>
      </x:c>
      <x:c r="D47" s="10" t="n">
        <x:v>1</x:v>
      </x:c>
      <x:c r="E47" s="195" t="str">
        <x:v>PASS</x:v>
      </x:c>
      <x:c r="F47" s="10" t="str">
        <x:v>log-20260623-014138-MaGaLiteratureBasedUrbanStudy</x:v>
      </x:c>
      <x:c r="G47" s="10" t="n">
        <x:v>9306</x:v>
      </x:c>
      <x:c r="H47" s="10" t="n">
        <x:v>101</x:v>
      </x:c>
      <x:c r="I47" s="10" t="n">
        <x:v>450</x:v>
      </x:c>
      <x:c r="J47" s="10" t="n">
        <x:v>450</x:v>
      </x:c>
      <x:c r="K47" s="10" t="n">
        <x:v>399</x:v>
      </x:c>
      <x:c r="L47" s="10" t="n">
        <x:v>51</x:v>
      </x:c>
      <x:c r="M47" s="117" t="n">
        <x:v>11.333333</x:v>
      </x:c>
      <x:c r="N47" s="117" t="n">
        <x:v>0.098053262</x:v>
      </x:c>
      <x:c r="O47" s="117" t="n">
        <x:v>0.263864</x:v>
      </x:c>
      <x:c r="P47" s="117" t="n">
        <x:v>0.3747271</x:v>
      </x:c>
      <x:c r="Q47" s="201" t="n">
        <x:v>0</x:v>
      </x:c>
      <x:c r="R47" s="10" t="n">
        <x:v>0</x:v>
      </x:c>
    </x:row>
    <x:row r="48">
      <x:c r="A48" s="10" t="str">
        <x:v>N-S-02</x:v>
      </x:c>
      <x:c r="B48" s="10" t="str">
        <x:v>CFG-N-S</x:v>
      </x:c>
      <x:c r="C48" s="10" t="n">
        <x:v>130363</x:v>
      </x:c>
      <x:c r="D48" s="10" t="n">
        <x:v>2</x:v>
      </x:c>
      <x:c r="E48" s="195" t="str">
        <x:v>PASS</x:v>
      </x:c>
      <x:c r="F48" s="10" t="str">
        <x:v>log-20260623-014310-MaGaLiteratureBasedUrbanStudy</x:v>
      </x:c>
      <x:c r="G48" s="10" t="n">
        <x:v>9429</x:v>
      </x:c>
      <x:c r="H48" s="10" t="n">
        <x:v>96</x:v>
      </x:c>
      <x:c r="I48" s="10" t="n">
        <x:v>432</x:v>
      </x:c>
      <x:c r="J48" s="10" t="n">
        <x:v>432</x:v>
      </x:c>
      <x:c r="K48" s="10" t="n">
        <x:v>376</x:v>
      </x:c>
      <x:c r="L48" s="10" t="n">
        <x:v>56</x:v>
      </x:c>
      <x:c r="M48" s="117" t="n">
        <x:v>12.962963</x:v>
      </x:c>
      <x:c r="N48" s="117" t="n">
        <x:v>0.102480637</x:v>
      </x:c>
      <x:c r="O48" s="117" t="n">
        <x:v>0.270751</x:v>
      </x:c>
      <x:c r="P48" s="117" t="n">
        <x:v>0.4133036</x:v>
      </x:c>
      <x:c r="Q48" s="201" t="n">
        <x:v>0</x:v>
      </x:c>
      <x:c r="R48" s="10" t="n">
        <x:v>0</x:v>
      </x:c>
    </x:row>
    <x:row r="49">
      <x:c r="A49" s="10" t="str">
        <x:v>N-S-03</x:v>
      </x:c>
      <x:c r="B49" s="10" t="str">
        <x:v>CFG-N-S</x:v>
      </x:c>
      <x:c r="C49" s="10" t="n">
        <x:v>155921</x:v>
      </x:c>
      <x:c r="D49" s="10" t="n">
        <x:v>3</x:v>
      </x:c>
      <x:c r="E49" s="195" t="str">
        <x:v>PASS</x:v>
      </x:c>
      <x:c r="F49" s="10" t="str">
        <x:v>log-20260623-014441-MaGaLiteratureBasedUrbanStudy</x:v>
      </x:c>
      <x:c r="G49" s="10" t="n">
        <x:v>9322</x:v>
      </x:c>
      <x:c r="H49" s="10" t="n">
        <x:v>110</x:v>
      </x:c>
      <x:c r="I49" s="10" t="n">
        <x:v>438</x:v>
      </x:c>
      <x:c r="J49" s="10" t="n">
        <x:v>438</x:v>
      </x:c>
      <x:c r="K49" s="10" t="n">
        <x:v>370</x:v>
      </x:c>
      <x:c r="L49" s="10" t="n">
        <x:v>68</x:v>
      </x:c>
      <x:c r="M49" s="117" t="n">
        <x:v>15.525114</x:v>
      </x:c>
      <x:c r="N49" s="117" t="n">
        <x:v>0.106537872</x:v>
      </x:c>
      <x:c r="O49" s="117" t="n">
        <x:v>0.3056177</x:v>
      </x:c>
      <x:c r="P49" s="117" t="n">
        <x:v>0.4028297</x:v>
      </x:c>
      <x:c r="Q49" s="201" t="n">
        <x:v>0</x:v>
      </x:c>
      <x:c r="R49" s="10" t="n">
        <x:v>0</x:v>
      </x:c>
    </x:row>
    <x:row r="50">
      <x:c r="A50" s="10" t="str">
        <x:v>N-S-04</x:v>
      </x:c>
      <x:c r="B50" s="10" t="str">
        <x:v>CFG-N-S</x:v>
      </x:c>
      <x:c r="C50" s="10" t="n">
        <x:v>181081</x:v>
      </x:c>
      <x:c r="D50" s="10" t="n">
        <x:v>4</x:v>
      </x:c>
      <x:c r="E50" s="195" t="str">
        <x:v>PASS</x:v>
      </x:c>
      <x:c r="F50" s="10" t="str">
        <x:v>log-20260623-014612-MaGaLiteratureBasedUrbanStudy</x:v>
      </x:c>
      <x:c r="G50" s="10" t="n">
        <x:v>9413</x:v>
      </x:c>
      <x:c r="H50" s="10" t="n">
        <x:v>114</x:v>
      </x:c>
      <x:c r="I50" s="10" t="n">
        <x:v>422</x:v>
      </x:c>
      <x:c r="J50" s="10" t="n">
        <x:v>422</x:v>
      </x:c>
      <x:c r="K50" s="10" t="n">
        <x:v>378</x:v>
      </x:c>
      <x:c r="L50" s="10" t="n">
        <x:v>44</x:v>
      </x:c>
      <x:c r="M50" s="117" t="n">
        <x:v>10.42654</x:v>
      </x:c>
      <x:c r="N50" s="117" t="n">
        <x:v>0.098336382</x:v>
      </x:c>
      <x:c r="O50" s="117" t="n">
        <x:v>0.2975268</x:v>
      </x:c>
      <x:c r="P50" s="117" t="n">
        <x:v>0.4811488</x:v>
      </x:c>
      <x:c r="Q50" s="201" t="n">
        <x:v>0</x:v>
      </x:c>
      <x:c r="R50" s="10" t="n">
        <x:v>0</x:v>
      </x:c>
    </x:row>
    <x:row r="51">
      <x:c r="A51" s="10" t="str">
        <x:v>N-S-05</x:v>
      </x:c>
      <x:c r="B51" s="10" t="str">
        <x:v>CFG-N-S</x:v>
      </x:c>
      <x:c r="C51" s="10" t="n">
        <x:v>207547</x:v>
      </x:c>
      <x:c r="D51" s="10" t="n">
        <x:v>5</x:v>
      </x:c>
      <x:c r="E51" s="195" t="str">
        <x:v>PASS</x:v>
      </x:c>
      <x:c r="F51" s="10" t="str">
        <x:v>log-20260623-014728-MaGaLiteratureBasedUrbanStudy</x:v>
      </x:c>
      <x:c r="G51" s="10" t="n">
        <x:v>9005</x:v>
      </x:c>
      <x:c r="H51" s="10" t="n">
        <x:v>93</x:v>
      </x:c>
      <x:c r="I51" s="10" t="n">
        <x:v>435</x:v>
      </x:c>
      <x:c r="J51" s="10" t="n">
        <x:v>435</x:v>
      </x:c>
      <x:c r="K51" s="10" t="n">
        <x:v>394</x:v>
      </x:c>
      <x:c r="L51" s="10" t="n">
        <x:v>41</x:v>
      </x:c>
      <x:c r="M51" s="117" t="n">
        <x:v>9.425287</x:v>
      </x:c>
      <x:c r="N51" s="117" t="n">
        <x:v>0.099667985</x:v>
      </x:c>
      <x:c r="O51" s="117" t="n">
        <x:v>0.2637822</x:v>
      </x:c>
      <x:c r="P51" s="117" t="n">
        <x:v>0.3575513</x:v>
      </x:c>
      <x:c r="Q51" s="201" t="n">
        <x:v>0</x:v>
      </x:c>
      <x:c r="R51" s="10" t="n">
        <x:v>0</x:v>
      </x:c>
    </x:row>
    <x:row r="52">
      <x:c r="A52" s="10" t="str">
        <x:v>H-E-01</x:v>
      </x:c>
      <x:c r="B52" s="10" t="str">
        <x:v>CFG-H-E</x:v>
      </x:c>
      <x:c r="C52" s="10" t="n">
        <x:v>104729</x:v>
      </x:c>
      <x:c r="D52" s="10" t="n">
        <x:v>1</x:v>
      </x:c>
      <x:c r="E52" s="195" t="str">
        <x:v>PASS</x:v>
      </x:c>
      <x:c r="F52" s="10" t="str">
        <x:v>log-20260623-015048-MaGaLiteratureBasedUrbanStudy</x:v>
      </x:c>
      <x:c r="G52" s="10" t="n">
        <x:v>15117</x:v>
      </x:c>
      <x:c r="H52" s="10" t="n">
        <x:v>99</x:v>
      </x:c>
      <x:c r="I52" s="10" t="n">
        <x:v>512</x:v>
      </x:c>
      <x:c r="J52" s="10" t="n">
        <x:v>512</x:v>
      </x:c>
      <x:c r="K52" s="10" t="n">
        <x:v>482</x:v>
      </x:c>
      <x:c r="L52" s="10" t="n">
        <x:v>30</x:v>
      </x:c>
      <x:c r="M52" s="117" t="n">
        <x:v>5.859375</x:v>
      </x:c>
      <x:c r="N52" s="117" t="n">
        <x:v>0.07208198</x:v>
      </x:c>
      <x:c r="O52" s="117" t="n">
        <x:v>0.2091284</x:v>
      </x:c>
      <x:c r="P52" s="117" t="n">
        <x:v>0.3557306</x:v>
      </x:c>
      <x:c r="Q52" s="201" t="n">
        <x:v>0</x:v>
      </x:c>
      <x:c r="R52" s="10" t="n">
        <x:v>0</x:v>
      </x:c>
    </x:row>
    <x:row r="53">
      <x:c r="A53" s="10" t="str">
        <x:v>H-E-02</x:v>
      </x:c>
      <x:c r="B53" s="10" t="str">
        <x:v>CFG-H-E</x:v>
      </x:c>
      <x:c r="C53" s="10" t="n">
        <x:v>130363</x:v>
      </x:c>
      <x:c r="D53" s="10" t="n">
        <x:v>2</x:v>
      </x:c>
      <x:c r="E53" s="195" t="str">
        <x:v>PASS</x:v>
      </x:c>
      <x:c r="F53" s="10" t="str">
        <x:v>log-20260623-015149-MaGaLiteratureBasedUrbanStudy</x:v>
      </x:c>
      <x:c r="G53" s="10" t="n">
        <x:v>15387</x:v>
      </x:c>
      <x:c r="H53" s="10" t="n">
        <x:v>89</x:v>
      </x:c>
      <x:c r="I53" s="10" t="n">
        <x:v>430</x:v>
      </x:c>
      <x:c r="J53" s="10" t="n">
        <x:v>430</x:v>
      </x:c>
      <x:c r="K53" s="10" t="n">
        <x:v>407</x:v>
      </x:c>
      <x:c r="L53" s="10" t="n">
        <x:v>23</x:v>
      </x:c>
      <x:c r="M53" s="117" t="n">
        <x:v>5.348837</x:v>
      </x:c>
      <x:c r="N53" s="117" t="n">
        <x:v>0.085656995</x:v>
      </x:c>
      <x:c r="O53" s="117" t="n">
        <x:v>0.2094234</x:v>
      </x:c>
      <x:c r="P53" s="117" t="n">
        <x:v>0.3634068</x:v>
      </x:c>
      <x:c r="Q53" s="201" t="n">
        <x:v>0</x:v>
      </x:c>
      <x:c r="R53" s="10" t="n">
        <x:v>0</x:v>
      </x:c>
    </x:row>
    <x:row r="54">
      <x:c r="A54" s="10" t="str">
        <x:v>H-E-03</x:v>
      </x:c>
      <x:c r="B54" s="10" t="str">
        <x:v>CFG-H-E</x:v>
      </x:c>
      <x:c r="C54" s="10" t="n">
        <x:v>155921</x:v>
      </x:c>
      <x:c r="D54" s="10" t="n">
        <x:v>3</x:v>
      </x:c>
      <x:c r="E54" s="195" t="str">
        <x:v>PASS</x:v>
      </x:c>
      <x:c r="F54" s="10" t="str">
        <x:v>log-20260623-015250-MaGaLiteratureBasedUrbanStudy</x:v>
      </x:c>
      <x:c r="G54" s="10" t="n">
        <x:v>15722</x:v>
      </x:c>
      <x:c r="H54" s="10" t="n">
        <x:v>79</x:v>
      </x:c>
      <x:c r="I54" s="10" t="n">
        <x:v>522</x:v>
      </x:c>
      <x:c r="J54" s="10" t="n">
        <x:v>522</x:v>
      </x:c>
      <x:c r="K54" s="10" t="n">
        <x:v>483</x:v>
      </x:c>
      <x:c r="L54" s="10" t="n">
        <x:v>39</x:v>
      </x:c>
      <x:c r="M54" s="117" t="n">
        <x:v>7.471264</x:v>
      </x:c>
      <x:c r="N54" s="117" t="n">
        <x:v>0.072350251</x:v>
      </x:c>
      <x:c r="O54" s="117" t="n">
        <x:v>0.2225271</x:v>
      </x:c>
      <x:c r="P54" s="117" t="n">
        <x:v>0.4154753</x:v>
      </x:c>
      <x:c r="Q54" s="201" t="n">
        <x:v>0</x:v>
      </x:c>
      <x:c r="R54" s="10" t="n">
        <x:v>0</x:v>
      </x:c>
    </x:row>
    <x:row r="55">
      <x:c r="A55" s="10" t="str">
        <x:v>H-E-04</x:v>
      </x:c>
      <x:c r="B55" s="10" t="str">
        <x:v>CFG-H-E</x:v>
      </x:c>
      <x:c r="C55" s="10" t="n">
        <x:v>181081</x:v>
      </x:c>
      <x:c r="D55" s="10" t="n">
        <x:v>4</x:v>
      </x:c>
      <x:c r="E55" s="195" t="str">
        <x:v>PASS</x:v>
      </x:c>
      <x:c r="F55" s="10" t="str">
        <x:v>log-20260623-015350-MaGaLiteratureBasedUrbanStudy</x:v>
      </x:c>
      <x:c r="G55" s="10" t="n">
        <x:v>15011</x:v>
      </x:c>
      <x:c r="H55" s="10" t="n">
        <x:v>86</x:v>
      </x:c>
      <x:c r="I55" s="10" t="n">
        <x:v>441</x:v>
      </x:c>
      <x:c r="J55" s="10" t="n">
        <x:v>441</x:v>
      </x:c>
      <x:c r="K55" s="10" t="n">
        <x:v>410</x:v>
      </x:c>
      <x:c r="L55" s="10" t="n">
        <x:v>31</x:v>
      </x:c>
      <x:c r="M55" s="117" t="n">
        <x:v>7.029478</x:v>
      </x:c>
      <x:c r="N55" s="117" t="n">
        <x:v>0.080525104</x:v>
      </x:c>
      <x:c r="O55" s="117" t="n">
        <x:v>0.2207508</x:v>
      </x:c>
      <x:c r="P55" s="117" t="n">
        <x:v>0.3614069</x:v>
      </x:c>
      <x:c r="Q55" s="201" t="n">
        <x:v>0</x:v>
      </x:c>
      <x:c r="R55" s="10" t="n">
        <x:v>0</x:v>
      </x:c>
    </x:row>
    <x:row r="56">
      <x:c r="A56" s="10" t="str">
        <x:v>H-E-05</x:v>
      </x:c>
      <x:c r="B56" s="10" t="str">
        <x:v>CFG-H-E</x:v>
      </x:c>
      <x:c r="C56" s="10" t="n">
        <x:v>207547</x:v>
      </x:c>
      <x:c r="D56" s="10" t="n">
        <x:v>5</x:v>
      </x:c>
      <x:c r="E56" s="195" t="str">
        <x:v>PASS</x:v>
      </x:c>
      <x:c r="F56" s="10" t="str">
        <x:v>log-20260623-015451-MaGaLiteratureBasedUrbanStudy</x:v>
      </x:c>
      <x:c r="G56" s="10" t="n">
        <x:v>15273</x:v>
      </x:c>
      <x:c r="H56" s="10" t="n">
        <x:v>82</x:v>
      </x:c>
      <x:c r="I56" s="10" t="n">
        <x:v>513</x:v>
      </x:c>
      <x:c r="J56" s="10" t="n">
        <x:v>513</x:v>
      </x:c>
      <x:c r="K56" s="10" t="n">
        <x:v>484</x:v>
      </x:c>
      <x:c r="L56" s="10" t="n">
        <x:v>29</x:v>
      </x:c>
      <x:c r="M56" s="117" t="n">
        <x:v>5.653021</x:v>
      </x:c>
      <x:c r="N56" s="117" t="n">
        <x:v>0.070807338</x:v>
      </x:c>
      <x:c r="O56" s="117" t="n">
        <x:v>0.2029906</x:v>
      </x:c>
      <x:c r="P56" s="117" t="n">
        <x:v>0.3216894</x:v>
      </x:c>
      <x:c r="Q56" s="201" t="n">
        <x:v>0</x:v>
      </x:c>
      <x:c r="R56" s="10" t="n">
        <x:v>0</x:v>
      </x:c>
    </x:row>
    <x:row r="57">
      <x:c r="A57" s="10" t="str">
        <x:v>H-I-01</x:v>
      </x:c>
      <x:c r="B57" s="10" t="str">
        <x:v>CFG-H-I</x:v>
      </x:c>
      <x:c r="C57" s="10" t="n">
        <x:v>104729</x:v>
      </x:c>
      <x:c r="D57" s="10" t="n">
        <x:v>1</x:v>
      </x:c>
      <x:c r="E57" s="195" t="str">
        <x:v>PASS</x:v>
      </x:c>
      <x:c r="F57" s="10" t="str">
        <x:v>log-20260623-015752-MaGaLiteratureBasedUrbanStudy</x:v>
      </x:c>
      <x:c r="G57" s="10" t="n">
        <x:v>15117</x:v>
      </x:c>
      <x:c r="H57" s="10" t="n">
        <x:v>126</x:v>
      </x:c>
      <x:c r="I57" s="10" t="n">
        <x:v>476</x:v>
      </x:c>
      <x:c r="J57" s="10" t="n">
        <x:v>476</x:v>
      </x:c>
      <x:c r="K57" s="10" t="n">
        <x:v>435</x:v>
      </x:c>
      <x:c r="L57" s="10" t="n">
        <x:v>41</x:v>
      </x:c>
      <x:c r="M57" s="117" t="n">
        <x:v>8.613445</x:v>
      </x:c>
      <x:c r="N57" s="117" t="n">
        <x:v>0.084064375</x:v>
      </x:c>
      <x:c r="O57" s="117" t="n">
        <x:v>0.2798283</x:v>
      </x:c>
      <x:c r="P57" s="117" t="n">
        <x:v>0.3900636</x:v>
      </x:c>
      <x:c r="Q57" s="201" t="n">
        <x:v>0</x:v>
      </x:c>
      <x:c r="R57" s="10" t="n">
        <x:v>0</x:v>
      </x:c>
    </x:row>
    <x:row r="58">
      <x:c r="A58" s="10" t="str">
        <x:v>H-I-02</x:v>
      </x:c>
      <x:c r="B58" s="10" t="str">
        <x:v>CFG-H-I</x:v>
      </x:c>
      <x:c r="C58" s="10" t="n">
        <x:v>130363</x:v>
      </x:c>
      <x:c r="D58" s="10" t="n">
        <x:v>2</x:v>
      </x:c>
      <x:c r="E58" s="195" t="str">
        <x:v>PASS</x:v>
      </x:c>
      <x:c r="F58" s="10" t="str">
        <x:v>log-20260623-015908-MaGaLiteratureBasedUrbanStudy</x:v>
      </x:c>
      <x:c r="G58" s="10" t="n">
        <x:v>15387</x:v>
      </x:c>
      <x:c r="H58" s="10" t="n">
        <x:v>108</x:v>
      </x:c>
      <x:c r="I58" s="10" t="n">
        <x:v>383</x:v>
      </x:c>
      <x:c r="J58" s="10" t="n">
        <x:v>383</x:v>
      </x:c>
      <x:c r="K58" s="10" t="n">
        <x:v>328</x:v>
      </x:c>
      <x:c r="L58" s="10" t="n">
        <x:v>55</x:v>
      </x:c>
      <x:c r="M58" s="117" t="n">
        <x:v>14.360313</x:v>
      </x:c>
      <x:c r="N58" s="117" t="n">
        <x:v>0.101919054</x:v>
      </x:c>
      <x:c r="O58" s="117" t="n">
        <x:v>0.313455</x:v>
      </x:c>
      <x:c r="P58" s="117" t="n">
        <x:v>0.5457594</x:v>
      </x:c>
      <x:c r="Q58" s="201" t="n">
        <x:v>0</x:v>
      </x:c>
      <x:c r="R58" s="10" t="n">
        <x:v>0</x:v>
      </x:c>
    </x:row>
    <x:row r="59">
      <x:c r="A59" s="10" t="str">
        <x:v>H-I-03</x:v>
      </x:c>
      <x:c r="B59" s="10" t="str">
        <x:v>CFG-H-I</x:v>
      </x:c>
      <x:c r="C59" s="10" t="n">
        <x:v>155921</x:v>
      </x:c>
      <x:c r="D59" s="10" t="n">
        <x:v>3</x:v>
      </x:c>
      <x:c r="E59" s="195" t="str">
        <x:v>PASS</x:v>
      </x:c>
      <x:c r="F59" s="10" t="str">
        <x:v>log-20260623-020008-MaGaLiteratureBasedUrbanStudy</x:v>
      </x:c>
      <x:c r="G59" s="10" t="n">
        <x:v>15722</x:v>
      </x:c>
      <x:c r="H59" s="10" t="n">
        <x:v>98</x:v>
      </x:c>
      <x:c r="I59" s="10" t="n">
        <x:v>421</x:v>
      </x:c>
      <x:c r="J59" s="10" t="n">
        <x:v>421</x:v>
      </x:c>
      <x:c r="K59" s="10" t="n">
        <x:v>366</x:v>
      </x:c>
      <x:c r="L59" s="10" t="n">
        <x:v>55</x:v>
      </x:c>
      <x:c r="M59" s="117" t="n">
        <x:v>13.064133</x:v>
      </x:c>
      <x:c r="N59" s="117" t="n">
        <x:v>0.094561479</x:v>
      </x:c>
      <x:c r="O59" s="117" t="n">
        <x:v>0.3280267</x:v>
      </x:c>
      <x:c r="P59" s="117" t="n">
        <x:v>0.4554659</x:v>
      </x:c>
      <x:c r="Q59" s="201" t="n">
        <x:v>0</x:v>
      </x:c>
      <x:c r="R59" s="10" t="n">
        <x:v>0</x:v>
      </x:c>
    </x:row>
    <x:row r="60">
      <x:c r="A60" s="10" t="str">
        <x:v>H-I-04</x:v>
      </x:c>
      <x:c r="B60" s="10" t="str">
        <x:v>CFG-H-I</x:v>
      </x:c>
      <x:c r="C60" s="10" t="n">
        <x:v>181081</x:v>
      </x:c>
      <x:c r="D60" s="10" t="n">
        <x:v>4</x:v>
      </x:c>
      <x:c r="E60" s="195" t="str">
        <x:v>PASS</x:v>
      </x:c>
      <x:c r="F60" s="10" t="str">
        <x:v>log-20260623-020124-MaGaLiteratureBasedUrbanStudy</x:v>
      </x:c>
      <x:c r="G60" s="10" t="n">
        <x:v>15011</x:v>
      </x:c>
      <x:c r="H60" s="10" t="n">
        <x:v>111</x:v>
      </x:c>
      <x:c r="I60" s="10" t="n">
        <x:v>402</x:v>
      </x:c>
      <x:c r="J60" s="10" t="n">
        <x:v>402</x:v>
      </x:c>
      <x:c r="K60" s="10" t="n">
        <x:v>347</x:v>
      </x:c>
      <x:c r="L60" s="10" t="n">
        <x:v>55</x:v>
      </x:c>
      <x:c r="M60" s="117" t="n">
        <x:v>13.681592</x:v>
      </x:c>
      <x:c r="N60" s="117" t="n">
        <x:v>0.101218301</x:v>
      </x:c>
      <x:c r="O60" s="117" t="n">
        <x:v>0.3084725</x:v>
      </x:c>
      <x:c r="P60" s="117" t="n">
        <x:v>0.5031603</x:v>
      </x:c>
      <x:c r="Q60" s="201" t="n">
        <x:v>0</x:v>
      </x:c>
      <x:c r="R60" s="10" t="n">
        <x:v>0</x:v>
      </x:c>
    </x:row>
    <x:row r="61">
      <x:c r="A61" s="10" t="str">
        <x:v>H-I-05</x:v>
      </x:c>
      <x:c r="B61" s="10" t="str">
        <x:v>CFG-H-I</x:v>
      </x:c>
      <x:c r="C61" s="10" t="n">
        <x:v>207547</x:v>
      </x:c>
      <x:c r="D61" s="10" t="n">
        <x:v>5</x:v>
      </x:c>
      <x:c r="E61" s="195" t="str">
        <x:v>PASS</x:v>
      </x:c>
      <x:c r="F61" s="10" t="str">
        <x:v>log-20260623-020239-MaGaLiteratureBasedUrbanStudy</x:v>
      </x:c>
      <x:c r="G61" s="10" t="n">
        <x:v>15273</x:v>
      </x:c>
      <x:c r="H61" s="10" t="n">
        <x:v>102</x:v>
      </x:c>
      <x:c r="I61" s="10" t="n">
        <x:v>419</x:v>
      </x:c>
      <x:c r="J61" s="10" t="n">
        <x:v>419</x:v>
      </x:c>
      <x:c r="K61" s="10" t="n">
        <x:v>358</x:v>
      </x:c>
      <x:c r="L61" s="10" t="n">
        <x:v>61</x:v>
      </x:c>
      <x:c r="M61" s="117" t="n">
        <x:v>14.558473</x:v>
      </x:c>
      <x:c r="N61" s="117" t="n">
        <x:v>0.095727329</x:v>
      </x:c>
      <x:c r="O61" s="117" t="n">
        <x:v>0.3060716</x:v>
      </x:c>
      <x:c r="P61" s="117" t="n">
        <x:v>0.3909944</x:v>
      </x:c>
      <x:c r="Q61" s="201" t="n">
        <x:v>0</x:v>
      </x:c>
      <x:c r="R61" s="10" t="n">
        <x:v>0</x:v>
      </x:c>
    </x:row>
    <x:row r="62">
      <x:c r="A62" s="10" t="str">
        <x:v>H-S-01</x:v>
      </x:c>
      <x:c r="B62" s="10" t="str">
        <x:v>CFG-H-S</x:v>
      </x:c>
      <x:c r="C62" s="10" t="n">
        <x:v>104729</x:v>
      </x:c>
      <x:c r="D62" s="10" t="n">
        <x:v>1</x:v>
      </x:c>
      <x:c r="E62" s="195" t="str">
        <x:v>PASS</x:v>
      </x:c>
      <x:c r="F62" s="10" t="str">
        <x:v>log-20260623-020452-MaGaLiteratureBasedUrbanStudy</x:v>
      </x:c>
      <x:c r="G62" s="10" t="n">
        <x:v>15117</x:v>
      </x:c>
      <x:c r="H62" s="10" t="n">
        <x:v>189</x:v>
      </x:c>
      <x:c r="I62" s="10" t="n">
        <x:v>336</x:v>
      </x:c>
      <x:c r="J62" s="10" t="n">
        <x:v>336</x:v>
      </x:c>
      <x:c r="K62" s="10" t="n">
        <x:v>256</x:v>
      </x:c>
      <x:c r="L62" s="10" t="n">
        <x:v>80</x:v>
      </x:c>
      <x:c r="M62" s="117" t="n">
        <x:v>23.809524</x:v>
      </x:c>
      <x:c r="N62" s="117" t="n">
        <x:v>0.140007438</x:v>
      </x:c>
      <x:c r="O62" s="117" t="n">
        <x:v>0.4901094</x:v>
      </x:c>
      <x:c r="P62" s="117" t="n">
        <x:v>0.6240134</x:v>
      </x:c>
      <x:c r="Q62" s="201" t="n">
        <x:v>0</x:v>
      </x:c>
      <x:c r="R62" s="10" t="n">
        <x:v>0</x:v>
      </x:c>
    </x:row>
    <x:row r="63">
      <x:c r="A63" s="10" t="str">
        <x:v>H-S-02</x:v>
      </x:c>
      <x:c r="B63" s="10" t="str">
        <x:v>CFG-H-S</x:v>
      </x:c>
      <x:c r="C63" s="10" t="n">
        <x:v>130363</x:v>
      </x:c>
      <x:c r="D63" s="10" t="n">
        <x:v>2</x:v>
      </x:c>
      <x:c r="E63" s="195" t="str">
        <x:v>PASS</x:v>
      </x:c>
      <x:c r="F63" s="10" t="str">
        <x:v>log-20260623-020607-MaGaLiteratureBasedUrbanStudy</x:v>
      </x:c>
      <x:c r="G63" s="10" t="n">
        <x:v>15387</x:v>
      </x:c>
      <x:c r="H63" s="10" t="n">
        <x:v>177</x:v>
      </x:c>
      <x:c r="I63" s="10" t="n">
        <x:v>320</x:v>
      </x:c>
      <x:c r="J63" s="10" t="n">
        <x:v>320</x:v>
      </x:c>
      <x:c r="K63" s="10" t="n">
        <x:v>243</x:v>
      </x:c>
      <x:c r="L63" s="10" t="n">
        <x:v>77</x:v>
      </x:c>
      <x:c r="M63" s="117" t="n">
        <x:v>24.0625</x:v>
      </x:c>
      <x:c r="N63" s="117" t="n">
        <x:v>0.144420979</x:v>
      </x:c>
      <x:c r="O63" s="117" t="n">
        <x:v>0.4735152</x:v>
      </x:c>
      <x:c r="P63" s="117" t="n">
        <x:v>0.6401189</x:v>
      </x:c>
      <x:c r="Q63" s="201" t="n">
        <x:v>0</x:v>
      </x:c>
      <x:c r="R63" s="10" t="n">
        <x:v>0</x:v>
      </x:c>
    </x:row>
    <x:row r="64">
      <x:c r="A64" s="10" t="str">
        <x:v>H-S-03</x:v>
      </x:c>
      <x:c r="B64" s="10" t="str">
        <x:v>CFG-H-S</x:v>
      </x:c>
      <x:c r="C64" s="10" t="n">
        <x:v>155921</x:v>
      </x:c>
      <x:c r="D64" s="10" t="n">
        <x:v>3</x:v>
      </x:c>
      <x:c r="E64" s="195" t="str">
        <x:v>PASS</x:v>
      </x:c>
      <x:c r="F64" s="10" t="str">
        <x:v>log-20260623-020722-MaGaLiteratureBasedUrbanStudy</x:v>
      </x:c>
      <x:c r="G64" s="10" t="n">
        <x:v>15722</x:v>
      </x:c>
      <x:c r="H64" s="10" t="n">
        <x:v>168</x:v>
      </x:c>
      <x:c r="I64" s="10" t="n">
        <x:v>337</x:v>
      </x:c>
      <x:c r="J64" s="10" t="n">
        <x:v>337</x:v>
      </x:c>
      <x:c r="K64" s="10" t="n">
        <x:v>263</x:v>
      </x:c>
      <x:c r="L64" s="10" t="n">
        <x:v>74</x:v>
      </x:c>
      <x:c r="M64" s="117" t="n">
        <x:v>21.958457</x:v>
      </x:c>
      <x:c r="N64" s="117" t="n">
        <x:v>0.139320561</x:v>
      </x:c>
      <x:c r="O64" s="117" t="n">
        <x:v>0.5075763</x:v>
      </x:c>
      <x:c r="P64" s="117" t="n">
        <x:v>0.6214431</x:v>
      </x:c>
      <x:c r="Q64" s="201" t="n">
        <x:v>0</x:v>
      </x:c>
      <x:c r="R64" s="10" t="n">
        <x:v>0</x:v>
      </x:c>
    </x:row>
    <x:row r="65">
      <x:c r="A65" s="10" t="str">
        <x:v>H-S-04</x:v>
      </x:c>
      <x:c r="B65" s="10" t="str">
        <x:v>CFG-H-S</x:v>
      </x:c>
      <x:c r="C65" s="10" t="n">
        <x:v>181081</x:v>
      </x:c>
      <x:c r="D65" s="10" t="n">
        <x:v>4</x:v>
      </x:c>
      <x:c r="E65" s="195" t="str">
        <x:v>PASS</x:v>
      </x:c>
      <x:c r="F65" s="10" t="str">
        <x:v>log-20260623-020838-MaGaLiteratureBasedUrbanStudy</x:v>
      </x:c>
      <x:c r="G65" s="10" t="n">
        <x:v>15011</x:v>
      </x:c>
      <x:c r="H65" s="10" t="n">
        <x:v>181</x:v>
      </x:c>
      <x:c r="I65" s="10" t="n">
        <x:v>342</x:v>
      </x:c>
      <x:c r="J65" s="10" t="n">
        <x:v>342</x:v>
      </x:c>
      <x:c r="K65" s="10" t="n">
        <x:v>264</x:v>
      </x:c>
      <x:c r="L65" s="10" t="n">
        <x:v>78</x:v>
      </x:c>
      <x:c r="M65" s="117" t="n">
        <x:v>22.807018</x:v>
      </x:c>
      <x:c r="N65" s="117" t="n">
        <x:v>0.13265842</x:v>
      </x:c>
      <x:c r="O65" s="117" t="n">
        <x:v>0.4399526</x:v>
      </x:c>
      <x:c r="P65" s="117" t="n">
        <x:v>0.5325198</x:v>
      </x:c>
      <x:c r="Q65" s="201" t="n">
        <x:v>0</x:v>
      </x:c>
      <x:c r="R65" s="10" t="n">
        <x:v>0</x:v>
      </x:c>
    </x:row>
    <x:row r="66">
      <x:c r="A66" s="10" t="str">
        <x:v>H-S-05</x:v>
      </x:c>
      <x:c r="B66" s="10" t="str">
        <x:v>CFG-H-S</x:v>
      </x:c>
      <x:c r="C66" s="10" t="n">
        <x:v>207547</x:v>
      </x:c>
      <x:c r="D66" s="10" t="n">
        <x:v>5</x:v>
      </x:c>
      <x:c r="E66" s="195" t="str">
        <x:v>PASS</x:v>
      </x:c>
      <x:c r="F66" s="10" t="str">
        <x:v>log-20260623-020954-MaGaLiteratureBasedUrbanStudy</x:v>
      </x:c>
      <x:c r="G66" s="10" t="n">
        <x:v>15273</x:v>
      </x:c>
      <x:c r="H66" s="10" t="n">
        <x:v>179</x:v>
      </x:c>
      <x:c r="I66" s="10" t="n">
        <x:v>335</x:v>
      </x:c>
      <x:c r="J66" s="10" t="n">
        <x:v>335</x:v>
      </x:c>
      <x:c r="K66" s="10" t="n">
        <x:v>259</x:v>
      </x:c>
      <x:c r="L66" s="10" t="n">
        <x:v>76</x:v>
      </x:c>
      <x:c r="M66" s="117" t="n">
        <x:v>22.686567</x:v>
      </x:c>
      <x:c r="N66" s="117" t="n">
        <x:v>0.134661178</x:v>
      </x:c>
      <x:c r="O66" s="117" t="n">
        <x:v>0.4488895</x:v>
      </x:c>
      <x:c r="P66" s="117" t="n">
        <x:v>0.5409911</x:v>
      </x:c>
      <x:c r="Q66" s="201" t="n">
        <x:v>0</x:v>
      </x:c>
      <x:c r="R66" s="10" t="n">
        <x:v>0</x:v>
      </x:c>
    </x:row>
    <x:row r="69">
      <x:c r="A69" s="187" t="str">
        <x:v>Configurazione</x:v>
      </x:c>
      <x:c r="B69" s="188" t="str">
        <x:v>Archivio batch</x:v>
      </x:c>
      <x:c r="C69" s="188" t="str">
        <x:v>SHA-256</x:v>
      </x:c>
      <x:c r="D69" s="189" t="str">
        <x:v>Risultati</x:v>
      </x:c>
    </x:row>
    <x:row r="70">
      <x:c r="A70" s="10" t="str">
        <x:v>CFG-L-E</x:v>
      </x:c>
      <x:c r="B70" s="10" t="str">
        <x:v>G02_CFG-L-E_five_seeds_PASS_20260623-002644.zip</x:v>
      </x:c>
      <x:c r="C70" s="10" t="str">
        <x:v>8eccc214b61c0a7756029b57d32b64c396850122d2e60af3cb04d33d2572d0c7</x:v>
      </x:c>
      <x:c r="D70" s="10" t="str">
        <x:v>5/5 PASS</x:v>
      </x:c>
    </x:row>
    <x:row r="71">
      <x:c r="A71" s="10" t="str">
        <x:v>CFG-L-I</x:v>
      </x:c>
      <x:c r="B71" s="10" t="str">
        <x:v>G02_CFG-L-I_five_seeds_PASS_20260623-010140.zip</x:v>
      </x:c>
      <x:c r="C71" s="10" t="str">
        <x:v>98e8e69aa1bb9b949642f3291695a18bbe48a9957651f4ab84dfefd9ded64cc4</x:v>
      </x:c>
      <x:c r="D71" s="10" t="str">
        <x:v>5/5 PASS</x:v>
      </x:c>
    </x:row>
    <x:row r="72">
      <x:c r="A72" s="10" t="str">
        <x:v>CFG-L-S</x:v>
      </x:c>
      <x:c r="B72" s="10" t="str">
        <x:v>G02_CFG-L-S_five_seeds_PASS_20260623-010928.zip</x:v>
      </x:c>
      <x:c r="C72" s="10" t="str">
        <x:v>f80508a5aa73271fd0c7cf00fd15681df7e512aec39ab2040ef9b88c62925e07</x:v>
      </x:c>
      <x:c r="D72" s="10" t="str">
        <x:v>5/5 PASS</x:v>
      </x:c>
    </x:row>
    <x:row r="73">
      <x:c r="A73" s="10" t="str">
        <x:v>CFG-N-E</x:v>
      </x:c>
      <x:c r="B73" s="10" t="str">
        <x:v>G02_CFG-N-E_five_seeds_PASS_20260623-011643.zip</x:v>
      </x:c>
      <x:c r="C73" s="10" t="str">
        <x:v>d9454b759f42e1aa9bfbc8d7402bf300fe1b79d0d23201feba8b3fd5311c35ca</x:v>
      </x:c>
      <x:c r="D73" s="10" t="str">
        <x:v>5/5 PASS</x:v>
      </x:c>
    </x:row>
    <x:row r="74">
      <x:c r="A74" s="10" t="str">
        <x:v>CFG-N-I</x:v>
      </x:c>
      <x:c r="B74" s="10" t="str">
        <x:v>G02_CFG-N-I_five_seeds_PASS_20260623-013346.zip</x:v>
      </x:c>
      <x:c r="C74" s="10" t="str">
        <x:v>e70bb016a8442ed41fe6b7c6ec779b05c34a68cb7be677b9a9b6d0b16ece6f16</x:v>
      </x:c>
      <x:c r="D74" s="10" t="str">
        <x:v>5/5 PASS</x:v>
      </x:c>
    </x:row>
    <x:row r="75">
      <x:c r="A75" s="10" t="str">
        <x:v>CFG-N-S</x:v>
      </x:c>
      <x:c r="B75" s="10" t="str">
        <x:v>G02_CFG-N-S_five_seeds_PASS_20260623-014130.zip</x:v>
      </x:c>
      <x:c r="C75" s="10" t="str">
        <x:v>4fc4d70a81aa62227b5a72f4c818c74906220dfc684f0a0edeb1926362ec673b</x:v>
      </x:c>
      <x:c r="D75" s="10" t="str">
        <x:v>5/5 PASS</x:v>
      </x:c>
    </x:row>
    <x:row r="76">
      <x:c r="A76" s="10" t="str">
        <x:v>CFG-H-E</x:v>
      </x:c>
      <x:c r="B76" s="10" t="str">
        <x:v>G02_CFG-H-E_five_seeds_PASS_20260623-015044.zip</x:v>
      </x:c>
      <x:c r="C76" s="10" t="str">
        <x:v>47449aa8b0df8b0783cc8c93f3584f5006e16b4b9097c866cc577474190b8e29</x:v>
      </x:c>
      <x:c r="D76" s="10" t="str">
        <x:v>5/5 PASS</x:v>
      </x:c>
    </x:row>
    <x:row r="77">
      <x:c r="A77" s="10" t="str">
        <x:v>CFG-H-I</x:v>
      </x:c>
      <x:c r="B77" s="10" t="str">
        <x:v>G02_CFG-H-I_five_seeds_PASS_20260623-015748.zip</x:v>
      </x:c>
      <x:c r="C77" s="10" t="str">
        <x:v>8c080fc44754c12bf8e789a1951586dbc600282361ecb84d989a9310bea06329</x:v>
      </x:c>
      <x:c r="D77" s="10" t="str">
        <x:v>5/5 PASS</x:v>
      </x:c>
    </x:row>
    <x:row r="78">
      <x:c r="A78" s="10" t="str">
        <x:v>CFG-H-S</x:v>
      </x:c>
      <x:c r="B78" s="10" t="str">
        <x:v>G02_CFG-H-S_five_seeds_PASS_20260623-020447.zip</x:v>
      </x:c>
      <x:c r="C78" s="10" t="str">
        <x:v>fa5ba7bc0612f554537594c53a18685aa460c8eb1f07026714531abe0e99bfcb</x:v>
      </x:c>
      <x:c r="D78" s="10" t="str">
        <x:v>5/5 PASS</x:v>
      </x:c>
    </x:row>
    <x:row r="81">
      <x:c r="A81" s="191" t="str">
        <x:v>Note interpretative e limiti</x:v>
      </x:c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</x:row>
    <x:row r="82" ht="34" customHeight="1">
      <x:c r="A82" s="193" t="str">
        <x:v>1</x:v>
      </x:c>
      <x:c r="B82" s="193" t="str">
        <x:v>high_density resta uno stress profile documentato, non un profilo operativo stabile.</x:v>
      </x:c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</x:row>
    <x:row r="83" ht="34" customHeight="1">
      <x:c r="A83" s="193" t="str">
        <x:v>2</x:v>
      </x:c>
      <x:c r="B83" s="193" t="str">
        <x:v>Lo stale cresce nei profili N-S, H-I e soprattutto H-S, pur senza errori, lag o violazioni runtime.</x:v>
      </x:c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</x:row>
    <x:row r="84" ht="34" customHeight="1">
      <x:c r="A84" s="193" t="str">
        <x:v>3</x:v>
      </x:c>
      <x:c r="B84" s="193" t="str">
        <x:v>La distribuzione è fortemente orientata a LOCAL. Le ablation LOCAL-only, no-mobility-penalty e cold-start saranno esposte dopo l’audit residuo su un branch sperimentale dedicato.</x:v>
      </x:c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</x:row>
    <x:row r="85" ht="34" customHeight="1">
      <x:c r="A85" s="193" t="str">
        <x:v>4</x:v>
      </x:c>
      <x:c r="B85" s="193" t="str">
        <x:v>taskCompletionModel = NOT_IMPLEMENTED: non calcolare né dichiarare completion rate.</x:v>
      </x:c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</x:row>
    <x:row r="87">
      <x:c r="A87" s="213" t="str">
        <x:v>Audit di fattibilità G02B</x:v>
      </x:c>
      <x:c r="B87" s="213"/>
      <x:c r="C87" s="213"/>
      <x:c r="D87" s="213"/>
      <x:c r="E87" s="213"/>
      <x:c r="F87" s="213"/>
      <x:c r="G87" s="213"/>
      <x:c r="H87" s="213"/>
      <x:c r="I87" s="213"/>
      <x:c r="J87" s="213"/>
      <x:c r="K87" s="213"/>
      <x:c r="L87" s="213"/>
      <x:c r="M87" s="213"/>
      <x:c r="N87" s="213"/>
      <x:c r="O87" s="213"/>
      <x:c r="P87" s="213"/>
      <x:c r="Q87" s="213"/>
      <x:c r="R87" s="213"/>
    </x:row>
    <x:row r="88">
      <x:c r="A88" s="221" t="str">
        <x:v>Variante</x:v>
      </x:c>
      <x:c r="B88" s="221" t="str">
        <x:v>Stato</x:v>
      </x:c>
      <x:c r="C88" s="221" t="str">
        <x:v>Supporto individuato</x:v>
      </x:c>
      <x:c r="D88" s="221" t="str">
        <x:v>Run avviate</x:v>
      </x:c>
      <x:c r="E88" s="221" t="str">
        <x:v>Uso baseline</x:v>
      </x:c>
      <x:c r="F88" s="221" t="str">
        <x:v>Decisione</x:v>
      </x:c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249" t="str">
        <x:v>FULL_MA_GA</x:v>
      </x:c>
      <x:c r="B89" s="249" t="str">
        <x:v>AVAILABLE</x:v>
      </x:c>
      <x:c r="C89" s="249" t="str">
        <x:v>Risultati G02 esistenti</x:v>
      </x:c>
      <x:c r="D89" s="249" t="n">
        <x:v>0</x:v>
      </x:c>
      <x:c r="E89" s="249" t="str">
        <x:v>Riutilizzare 15 run minime (+5 H-S opzionali)</x:v>
      </x:c>
      <x:c r="F89" s="249" t="str">
        <x:v>Non ripetere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245" t="str">
        <x:v>LOCAL_ONLY</x:v>
      </x:c>
      <x:c r="B90" s="245" t="str">
        <x:v>NOT_EXPOSED</x:v>
      </x:c>
      <x:c r="C90" s="245" t="str">
        <x:v>Nessun vero switch; due falsi positivi tooling</x:v>
      </x:c>
      <x:c r="D90" s="245" t="n">
        <x:v>0</x:v>
      </x:c>
      <x:c r="E90" s="245" t="str">
        <x:v>Confronto non eseguibile</x:v>
      </x:c>
      <x:c r="F90" s="245" t="str">
        <x:v>Decisione sul core</x:v>
      </x:c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245" t="str">
        <x:v>NO_MOBILITY_PENALTY</x:v>
      </x:c>
      <x:c r="B91" s="245" t="str">
        <x:v>CORE_PRESENT_CONFIG_NOT_EXPOSED</x:v>
      </x:c>
      <x:c r="C91" s="245" t="str">
        <x:v>FitnessWeights presente, nessuna chiave runtime</x:v>
      </x:c>
      <x:c r="D91" s="245" t="n">
        <x:v>0</x:v>
      </x:c>
      <x:c r="E91" s="245" t="str">
        <x:v>Confronto non eseguibile</x:v>
      </x:c>
      <x:c r="F91" s="245" t="str">
        <x:v>Decisione sul core</x:v>
      </x:c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245" t="str">
        <x:v>COLD_START_NO_REUSE</x:v>
      </x:c>
      <x:c r="B92" s="245" t="str">
        <x:v>CORE_PRESENT_CONFIG_NOT_EXPOSED</x:v>
      </x:c>
      <x:c r="C92" s="245" t="str">
        <x:v>Policy presente, nessuna forzatura JSON</x:v>
      </x:c>
      <x:c r="D92" s="245" t="n">
        <x:v>0</x:v>
      </x:c>
      <x:c r="E92" s="245" t="str">
        <x:v>Confronto non eseguibile</x:v>
      </x:c>
      <x:c r="F92" s="245" t="str">
        <x:v>Decisione sul core</x:v>
      </x:c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245" t="str">
        <x:v>RANDOM_OR_GREEDY</x:v>
      </x:c>
      <x:c r="B93" s="245" t="str">
        <x:v>NO_EVIDENCE</x:v>
      </x:c>
      <x:c r="C93" s="245" t="str">
        <x:v>Baseline non individuata</x:v>
      </x:c>
      <x:c r="D93" s="245" t="n">
        <x:v>0</x:v>
      </x:c>
      <x:c r="E93" s="245" t="str">
        <x:v>Opzionale</x:v>
      </x:c>
      <x:c r="F93" s="245" t="str">
        <x:v>Non introdurre codice solo per questa baseline</x:v>
      </x:c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248" t="str">
        <x:v>Esito: G02B_PLANNED_AFTER_RESIDUAL_AUDIT. Nessuna modifica Java o run comparativa è stata ancora eseguita; baseline FULL_MA_GA disponibili.</x:v>
      </x:c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</x:row>
  </x:sheetData>
  <x:mergeCells>
    <x:mergeCell ref="A1:R1"/>
    <x:mergeCell ref="A2:R2"/>
    <x:mergeCell ref="A81:R81"/>
    <x:mergeCell ref="A87:R87"/>
    <x:mergeCell ref="A94:R9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1" hidden="0" customWidth="1"/>
    <x:col min="4" max="4" width="10" hidden="0" customWidth="1"/>
    <x:col min="5" max="5" width="12" hidden="0" customWidth="1"/>
    <x:col min="6" max="6" width="11" hidden="0" customWidth="1"/>
    <x:col min="7" max="7" width="22" hidden="0" customWidth="1"/>
    <x:col min="8" max="8" width="36" hidden="0" customWidth="1"/>
    <x:col min="9" max="9" width="12" hidden="0" customWidth="1"/>
    <x:col min="10" max="10" width="18" hidden="0" customWidth="1"/>
    <x:col min="11" max="11" width="10" hidden="0" customWidth="1"/>
    <x:col min="12" max="12" width="14" hidden="0" customWidth="1"/>
    <x:col min="13" max="13" width="10" hidden="0" customWidth="1"/>
    <x:col min="14" max="14" width="45" hidden="0" customWidth="1"/>
  </x:cols>
  <x:sheetData>
    <x:row r="1" ht="30" customHeight="1">
      <x:c r="A1" s="286" t="str">
        <x:v>Risultati finali G03 — riproducibilità, durata e limite stress</x:v>
      </x:c>
      <x:c r="B1" s="286"/>
      <x:c r="C1" s="286"/>
      <x:c r="D1" s="286"/>
      <x:c r="E1" s="286"/>
      <x:c r="F1" s="286"/>
      <x:c r="G1" s="286"/>
      <x:c r="H1" s="286"/>
      <x:c r="I1" s="286"/>
      <x:c r="J1" s="286"/>
      <x:c r="K1" s="286"/>
      <x:c r="L1" s="286"/>
      <x:c r="M1" s="286"/>
      <x:c r="N1" s="286"/>
    </x:row>
    <x:row r="2">
      <x:c r="A2" s="293" t="str">
        <x:v>G03 resta PASS_CON_LIMITE_STRESS. G04–G06 sono chiuse con limiti documentati; prossimo passo audit residui.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</x:row>
    <x:row r="4">
      <x:c r="A4" s="286" t="str">
        <x:v>Indicatore</x:v>
      </x:c>
      <x:c r="B4" s="286" t="str">
        <x:v>Valore</x:v>
      </x:c>
      <x:c r="C4" s="286" t="str">
        <x:v>Indicatore</x:v>
      </x:c>
      <x:c r="D4" s="286" t="str">
        <x:v>Valore</x:v>
      </x:c>
      <x:c r="E4" s="286" t="str">
        <x:v>Indicatore</x:v>
      </x:c>
      <x:c r="F4" s="286" t="str">
        <x:v>Valore</x:v>
      </x:c>
      <x:c r="G4" s="286" t="str">
        <x:v>Indicatore</x:v>
      </x:c>
      <x:c r="H4" s="286" t="str">
        <x:v>Valore</x:v>
      </x:c>
    </x:row>
    <x:row r="5">
      <x:c r="A5" s="10" t="str">
        <x:v>Azioni PASS</x:v>
      </x:c>
      <x:c r="B5" s="10" t="n">
        <x:v>10</x:v>
      </x:c>
      <x:c r="C5" s="10" t="str">
        <x:v>Run MOSAIC PASS</x:v>
      </x:c>
      <x:c r="D5" s="10" t="n">
        <x:v>8</x:v>
      </x:c>
      <x:c r="E5" s="10" t="str">
        <x:v>Materializzazioni PASS</x:v>
      </x:c>
      <x:c r="F5" s="10" t="str">
        <x:v>2/2</x:v>
      </x:c>
      <x:c r="G5" s="278" t="str">
        <x:v>Stress opzionale</x:v>
      </x:c>
      <x:c r="H5" s="278" t="str">
        <x:v>464/600 s</x:v>
      </x:c>
    </x:row>
    <x:row r="6">
      <x:c r="A6" s="10" t="str">
        <x:v>T-010 / T-014</x:v>
      </x:c>
      <x:c r="B6" s="10" t="str">
        <x:v>PASS</x:v>
      </x:c>
      <x:c r="C6" s="10" t="str">
        <x:v>T-018</x:v>
      </x:c>
      <x:c r="D6" s="10" t="str">
        <x:v>PASS_CON_LIMITE_STRESS</x:v>
      </x:c>
      <x:c r="E6" s="10" t="str">
        <x:v>Lag massimo</x:v>
      </x:c>
      <x:c r="F6" s="10" t="n">
        <x:v>0</x:v>
      </x:c>
      <x:c r="G6" s="10" t="str">
        <x:v>Violazioni</x:v>
      </x:c>
      <x:c r="H6" s="10" t="n">
        <x:v>0</x:v>
      </x:c>
    </x:row>
    <x:row r="9">
      <x:c r="A9" s="286" t="str">
        <x:v>Action_ID</x:v>
      </x:c>
      <x:c r="B9" s="286" t="str">
        <x:v>Config</x:v>
      </x:c>
      <x:c r="C9" s="286" t="str">
        <x:v>Seed</x:v>
      </x:c>
      <x:c r="D9" s="286" t="str">
        <x:v>Replica</x:v>
      </x:c>
      <x:c r="E9" s="286" t="str">
        <x:v>Obbl.</x:v>
      </x:c>
      <x:c r="F9" s="286" t="str">
        <x:v>Durata</x:v>
      </x:c>
      <x:c r="G9" s="286" t="str">
        <x:v>Stato</x:v>
      </x:c>
      <x:c r="H9" s="286" t="str">
        <x:v>Run / evidenza</x:v>
      </x:c>
      <x:c r="I9" s="286" t="str">
        <x:v>Task</x:v>
      </x:c>
      <x:c r="J9" s="286" t="str">
        <x:v>GA sub/comp/appl</x:v>
      </x:c>
      <x:c r="K9" s="286" t="str">
        <x:v>Stale</x:v>
      </x:c>
      <x:c r="L9" s="286" t="str">
        <x:v>Runtime medio</x:v>
      </x:c>
      <x:c r="M9" s="286" t="str">
        <x:v>Lag</x:v>
      </x:c>
      <x:c r="N9" s="286" t="str">
        <x:v>Nota</x:v>
      </x:c>
    </x:row>
    <x:row r="10" ht="32" customHeight="1">
      <x:c r="A10" s="10" t="str">
        <x:v>REP-01-A</x:v>
      </x:c>
      <x:c r="B10" s="10" t="str">
        <x:v>CFG-REPRO</x:v>
      </x:c>
      <x:c r="C10" s="10" t="n">
        <x:v>104729</x:v>
      </x:c>
      <x:c r="D10" s="10" t="n">
        <x:v>1</x:v>
      </x:c>
      <x:c r="E10" s="10" t="str">
        <x:v>Sì</x:v>
      </x:c>
      <x:c r="F10" s="10" t="str">
        <x:v>300 s</x:v>
      </x:c>
      <x:c r="G10" s="10" t="str">
        <x:v>PASS</x:v>
      </x:c>
      <x:c r="H10" s="10" t="str">
        <x:v>MAT-CFG-REPRO-104729-A</x:v>
      </x:c>
      <x:c r="I10" s="10" t="str">
        <x:v>—</x:v>
      </x:c>
      <x:c r="J10" s="10" t="str">
        <x:v>—</x:v>
      </x:c>
      <x:c r="K10" s="10" t="str">
        <x:v>—</x:v>
      </x:c>
      <x:c r="L10" s="10" t="str">
        <x:v>—</x:v>
      </x:c>
      <x:c r="M10" s="10" t="str">
        <x:v>—</x:v>
      </x:c>
      <x:c r="N10" s="10" t="str">
        <x:v>MATERIALIZED_VALIDATED</x:v>
      </x:c>
    </x:row>
    <x:row r="11" ht="32" customHeight="1">
      <x:c r="A11" s="10" t="str">
        <x:v>REP-01-B</x:v>
      </x:c>
      <x:c r="B11" s="10" t="str">
        <x:v>CFG-REPRO</x:v>
      </x:c>
      <x:c r="C11" s="10" t="n">
        <x:v>104729</x:v>
      </x:c>
      <x:c r="D11" s="10" t="n">
        <x:v>2</x:v>
      </x:c>
      <x:c r="E11" s="10" t="str">
        <x:v>Sì</x:v>
      </x:c>
      <x:c r="F11" s="10" t="str">
        <x:v>300 s</x:v>
      </x:c>
      <x:c r="G11" s="10" t="str">
        <x:v>PASS</x:v>
      </x:c>
      <x:c r="H11" s="10" t="str">
        <x:v>MAT-CFG-REPRO-104729-B</x:v>
      </x:c>
      <x:c r="I11" s="10" t="str">
        <x:v>—</x:v>
      </x:c>
      <x:c r="J11" s="10" t="str">
        <x:v>—</x:v>
      </x:c>
      <x:c r="K11" s="10" t="str">
        <x:v>—</x:v>
      </x:c>
      <x:c r="L11" s="10" t="str">
        <x:v>—</x:v>
      </x:c>
      <x:c r="M11" s="10" t="str">
        <x:v>—</x:v>
      </x:c>
      <x:c r="N11" s="10" t="str">
        <x:v>LOGICALLY_IDENTICAL con A</x:v>
      </x:c>
    </x:row>
    <x:row r="12" ht="32" customHeight="1">
      <x:c r="A12" s="10" t="str">
        <x:v>VAR-N-01</x:v>
      </x:c>
      <x:c r="B12" s="10" t="str">
        <x:v>CFG-RUNTIME-REPEAT</x:v>
      </x:c>
      <x:c r="C12" s="10" t="n">
        <x:v>104729</x:v>
      </x:c>
      <x:c r="D12" s="10" t="n">
        <x:v>1</x:v>
      </x:c>
      <x:c r="E12" s="10" t="str">
        <x:v>Consigliata</x:v>
      </x:c>
      <x:c r="F12" s="10" t="str">
        <x:v>300 s</x:v>
      </x:c>
      <x:c r="G12" s="10" t="str">
        <x:v>PASS</x:v>
      </x:c>
      <x:c r="H12" s="10" t="str">
        <x:v>log-20260623-175912-MaGaLiteratureBasedUrbanStudy</x:v>
      </x:c>
      <x:c r="I12" s="10" t="n">
        <x:v>9306</x:v>
      </x:c>
      <x:c r="J12" s="10" t="str">
        <x:v>616/616/616</x:v>
      </x:c>
      <x:c r="K12" s="10" t="n">
        <x:v>0</x:v>
      </x:c>
      <x:c r="L12" s="10" t="n">
        <x:v>0.034014784</x:v>
      </x:c>
      <x:c r="M12" s="10" t="n">
        <x:v>0</x:v>
      </x:c>
      <x:c r="N12" s="10" t="str">
        <x:v>Validator LITERATURE_SMOKE_TEST_PASSED; violazioni 0.</x:v>
      </x:c>
    </x:row>
    <x:row r="13" ht="32" customHeight="1">
      <x:c r="A13" s="10" t="str">
        <x:v>VAR-N-02</x:v>
      </x:c>
      <x:c r="B13" s="10" t="str">
        <x:v>CFG-RUNTIME-REPEAT</x:v>
      </x:c>
      <x:c r="C13" s="10" t="n">
        <x:v>104729</x:v>
      </x:c>
      <x:c r="D13" s="10" t="n">
        <x:v>2</x:v>
      </x:c>
      <x:c r="E13" s="10" t="str">
        <x:v>Consigliata</x:v>
      </x:c>
      <x:c r="F13" s="10" t="str">
        <x:v>300 s</x:v>
      </x:c>
      <x:c r="G13" s="10" t="str">
        <x:v>PASS</x:v>
      </x:c>
      <x:c r="H13" s="10" t="str">
        <x:v>log-20260623-175957-MaGaLiteratureBasedUrbanStudy</x:v>
      </x:c>
      <x:c r="I13" s="10" t="n">
        <x:v>9306</x:v>
      </x:c>
      <x:c r="J13" s="10" t="str">
        <x:v>550/550/548</x:v>
      </x:c>
      <x:c r="K13" s="10" t="n">
        <x:v>2</x:v>
      </x:c>
      <x:c r="L13" s="10" t="n">
        <x:v>0.036719315</x:v>
      </x:c>
      <x:c r="M13" s="10" t="n">
        <x:v>0</x:v>
      </x:c>
      <x:c r="N13" s="10" t="str">
        <x:v>Validator LITERATURE_SMOKE_TEST_PASSED; violazioni 0.</x:v>
      </x:c>
    </x:row>
    <x:row r="14" ht="32" customHeight="1">
      <x:c r="A14" s="10" t="str">
        <x:v>VAR-N-03</x:v>
      </x:c>
      <x:c r="B14" s="10" t="str">
        <x:v>CFG-RUNTIME-REPEAT</x:v>
      </x:c>
      <x:c r="C14" s="10" t="n">
        <x:v>104729</x:v>
      </x:c>
      <x:c r="D14" s="10" t="n">
        <x:v>3</x:v>
      </x:c>
      <x:c r="E14" s="10" t="str">
        <x:v>Consigliata</x:v>
      </x:c>
      <x:c r="F14" s="10" t="str">
        <x:v>300 s</x:v>
      </x:c>
      <x:c r="G14" s="10" t="str">
        <x:v>PASS</x:v>
      </x:c>
      <x:c r="H14" s="10" t="str">
        <x:v>log-20260623-180043-MaGaLiteratureBasedUrbanStudy</x:v>
      </x:c>
      <x:c r="I14" s="10" t="n">
        <x:v>9306</x:v>
      </x:c>
      <x:c r="J14" s="10" t="str">
        <x:v>474/474/474</x:v>
      </x:c>
      <x:c r="K14" s="10" t="n">
        <x:v>0</x:v>
      </x:c>
      <x:c r="L14" s="10" t="n">
        <x:v>0.044145135</x:v>
      </x:c>
      <x:c r="M14" s="10" t="n">
        <x:v>0</x:v>
      </x:c>
      <x:c r="N14" s="10" t="str">
        <x:v>Validator LITERATURE_SMOKE_TEST_PASSED; violazioni 0.</x:v>
      </x:c>
    </x:row>
    <x:row r="15" ht="32" customHeight="1">
      <x:c r="A15" s="10" t="str">
        <x:v>N-I-EXT-01</x:v>
      </x:c>
      <x:c r="B15" s="10" t="str">
        <x:v>CFG-N-I-EXT</x:v>
      </x:c>
      <x:c r="C15" s="10" t="n">
        <x:v>104729</x:v>
      </x:c>
      <x:c r="D15" s="10" t="n">
        <x:v>1</x:v>
      </x:c>
      <x:c r="E15" s="10" t="str">
        <x:v>Sì</x:v>
      </x:c>
      <x:c r="F15" s="10" t="str">
        <x:v>600 s</x:v>
      </x:c>
      <x:c r="G15" s="10" t="str">
        <x:v>PASS</x:v>
      </x:c>
      <x:c r="H15" s="10" t="str">
        <x:v>log-20260623-180128-MaGaLiteratureBasedUrbanStudy</x:v>
      </x:c>
      <x:c r="I15" s="10" t="n">
        <x:v>19272</x:v>
      </x:c>
      <x:c r="J15" s="10" t="str">
        <x:v>1281/1281/1279</x:v>
      </x:c>
      <x:c r="K15" s="10" t="n">
        <x:v>2</x:v>
      </x:c>
      <x:c r="L15" s="10" t="n">
        <x:v>0.03477194</x:v>
      </x:c>
      <x:c r="M15" s="10" t="n">
        <x:v>0</x:v>
      </x:c>
      <x:c r="N15" s="10" t="str">
        <x:v>Validator LITERATURE_SMOKE_TEST_PASSED; violazioni 0.</x:v>
      </x:c>
    </x:row>
    <x:row r="16" ht="32" customHeight="1">
      <x:c r="A16" s="10" t="str">
        <x:v>N-I-EXT-02</x:v>
      </x:c>
      <x:c r="B16" s="10" t="str">
        <x:v>CFG-N-I-EXT</x:v>
      </x:c>
      <x:c r="C16" s="10" t="n">
        <x:v>130363</x:v>
      </x:c>
      <x:c r="D16" s="10" t="n">
        <x:v>2</x:v>
      </x:c>
      <x:c r="E16" s="10" t="str">
        <x:v>Sì</x:v>
      </x:c>
      <x:c r="F16" s="10" t="str">
        <x:v>600 s</x:v>
      </x:c>
      <x:c r="G16" s="10" t="str">
        <x:v>PASS</x:v>
      </x:c>
      <x:c r="H16" s="10" t="str">
        <x:v>log-20260623-180259-MaGaLiteratureBasedUrbanStudy</x:v>
      </x:c>
      <x:c r="I16" s="10" t="n">
        <x:v>19463</x:v>
      </x:c>
      <x:c r="J16" s="10" t="str">
        <x:v>1187/1187/1187</x:v>
      </x:c>
      <x:c r="K16" s="10" t="n">
        <x:v>0</x:v>
      </x:c>
      <x:c r="L16" s="10" t="n">
        <x:v>0.038538841</x:v>
      </x:c>
      <x:c r="M16" s="10" t="n">
        <x:v>0</x:v>
      </x:c>
      <x:c r="N16" s="10" t="str">
        <x:v>Validator LITERATURE_SMOKE_TEST_PASSED; violazioni 0.</x:v>
      </x:c>
    </x:row>
    <x:row r="17" ht="32" customHeight="1">
      <x:c r="A17" s="10" t="str">
        <x:v>N-I-EXT-03</x:v>
      </x:c>
      <x:c r="B17" s="10" t="str">
        <x:v>CFG-N-I-EXT</x:v>
      </x:c>
      <x:c r="C17" s="10" t="n">
        <x:v>155921</x:v>
      </x:c>
      <x:c r="D17" s="10" t="n">
        <x:v>3</x:v>
      </x:c>
      <x:c r="E17" s="10" t="str">
        <x:v>Sì</x:v>
      </x:c>
      <x:c r="F17" s="10" t="str">
        <x:v>600 s</x:v>
      </x:c>
      <x:c r="G17" s="10" t="str">
        <x:v>PASS</x:v>
      </x:c>
      <x:c r="H17" s="10" t="str">
        <x:v>log-20260623-180430-MaGaLiteratureBasedUrbanStudy</x:v>
      </x:c>
      <x:c r="I17" s="10" t="n">
        <x:v>19250</x:v>
      </x:c>
      <x:c r="J17" s="10" t="str">
        <x:v>1266/1266/1265</x:v>
      </x:c>
      <x:c r="K17" s="10" t="n">
        <x:v>1</x:v>
      </x:c>
      <x:c r="L17" s="10" t="n">
        <x:v>0.035164353</x:v>
      </x:c>
      <x:c r="M17" s="10" t="n">
        <x:v>0</x:v>
      </x:c>
      <x:c r="N17" s="10" t="str">
        <x:v>Validator LITERATURE_SMOKE_TEST_PASSED; violazioni 0.</x:v>
      </x:c>
    </x:row>
    <x:row r="18" ht="32" customHeight="1">
      <x:c r="A18" s="10" t="str">
        <x:v>N-I-EXT-04</x:v>
      </x:c>
      <x:c r="B18" s="10" t="str">
        <x:v>CFG-N-I-EXT</x:v>
      </x:c>
      <x:c r="C18" s="10" t="n">
        <x:v>181081</x:v>
      </x:c>
      <x:c r="D18" s="10" t="n">
        <x:v>4</x:v>
      </x:c>
      <x:c r="E18" s="10" t="str">
        <x:v>Sì</x:v>
      </x:c>
      <x:c r="F18" s="10" t="str">
        <x:v>600 s</x:v>
      </x:c>
      <x:c r="G18" s="10" t="str">
        <x:v>PASS</x:v>
      </x:c>
      <x:c r="H18" s="10" t="str">
        <x:v>log-20260623-180604-MaGaLiteratureBasedUrbanStudy</x:v>
      </x:c>
      <x:c r="I18" s="10" t="n">
        <x:v>19391</x:v>
      </x:c>
      <x:c r="J18" s="10" t="str">
        <x:v>1180/1180/1160</x:v>
      </x:c>
      <x:c r="K18" s="10" t="n">
        <x:v>20</x:v>
      </x:c>
      <x:c r="L18" s="10" t="n">
        <x:v>0.071733067</x:v>
      </x:c>
      <x:c r="M18" s="10" t="n">
        <x:v>0</x:v>
      </x:c>
      <x:c r="N18" s="10" t="str">
        <x:v>Validator LITERATURE_SMOKE_TEST_PASSED; violazioni 0.</x:v>
      </x:c>
    </x:row>
    <x:row r="19" ht="32" customHeight="1">
      <x:c r="A19" s="10" t="str">
        <x:v>N-I-EXT-05</x:v>
      </x:c>
      <x:c r="B19" s="10" t="str">
        <x:v>CFG-N-I-EXT</x:v>
      </x:c>
      <x:c r="C19" s="10" t="n">
        <x:v>207547</x:v>
      </x:c>
      <x:c r="D19" s="10" t="n">
        <x:v>5</x:v>
      </x:c>
      <x:c r="E19" s="10" t="str">
        <x:v>Sì</x:v>
      </x:c>
      <x:c r="F19" s="10" t="str">
        <x:v>600 s</x:v>
      </x:c>
      <x:c r="G19" s="10" t="str">
        <x:v>PASS</x:v>
      </x:c>
      <x:c r="H19" s="10" t="str">
        <x:v>log-20260623-180851-MaGaLiteratureBasedUrbanStudy</x:v>
      </x:c>
      <x:c r="I19" s="10" t="n">
        <x:v>18961</x:v>
      </x:c>
      <x:c r="J19" s="10" t="str">
        <x:v>1107/1107/1077</x:v>
      </x:c>
      <x:c r="K19" s="10" t="n">
        <x:v>30</x:v>
      </x:c>
      <x:c r="L19" s="10" t="n">
        <x:v>0.076004403</x:v>
      </x:c>
      <x:c r="M19" s="10" t="n">
        <x:v>0</x:v>
      </x:c>
      <x:c r="N19" s="10" t="str">
        <x:v>Validator LITERATURE_SMOKE_TEST_PASSED; violazioni 0.</x:v>
      </x:c>
    </x:row>
    <x:row r="20" ht="32" customHeight="1">
      <x:c r="A20" s="278" t="str">
        <x:v>H-S-EXT-01</x:v>
      </x:c>
      <x:c r="B20" s="278" t="str">
        <x:v>CFG-H-S-EXT</x:v>
      </x:c>
      <x:c r="C20" s="278" t="n">
        <x:v>104729</x:v>
      </x:c>
      <x:c r="D20" s="278" t="n">
        <x:v>1</x:v>
      </x:c>
      <x:c r="E20" s="278" t="str">
        <x:v>No</x:v>
      </x:c>
      <x:c r="F20" s="278" t="str">
        <x:v>600 s</x:v>
      </x:c>
      <x:c r="G20" s="278" t="str">
        <x:v>OPTIONAL_STRESS_LIMIT</x:v>
      </x:c>
      <x:c r="H20" s="278" t="str">
        <x:v>log-20260623-181139-MaGaLiteratureBasedUrbanStudy</x:v>
      </x:c>
      <x:c r="I20" s="278" t="str">
        <x:v>N/D</x:v>
      </x:c>
      <x:c r="J20" s="278" t="str">
        <x:v>N/D</x:v>
      </x:c>
      <x:c r="K20" s="278" t="str">
        <x:v>N/D</x:v>
      </x:c>
      <x:c r="L20" s="278" t="str">
        <x:v>N/D</x:v>
      </x:c>
      <x:c r="M20" s="278" t="str">
        <x:v>N/D</x:v>
      </x:c>
      <x:c r="N20" s="278" t="str">
        <x:v>Interrotta a 464 s: watchdog/TraCI; no report finali; nessun rerun.</x:v>
      </x:c>
    </x:row>
    <x:row r="23">
      <x:c r="A23" s="286" t="str">
        <x:v>Analisi delle tre run ripetute sullo stesso scenario</x:v>
      </x:c>
      <x:c r="B23" s="286"/>
      <x:c r="C23" s="286"/>
      <x:c r="D23" s="286"/>
      <x:c r="E23" s="286"/>
      <x:c r="F23" s="286"/>
      <x:c r="G23" s="286"/>
      <x:c r="H23" s="286"/>
      <x:c r="I23" s="286"/>
      <x:c r="J23" s="286"/>
      <x:c r="K23" s="286"/>
      <x:c r="L23" s="286"/>
      <x:c r="M23" s="286"/>
      <x:c r="N23" s="286"/>
    </x:row>
    <x:row r="24">
      <x:c r="A24" s="286" t="str">
        <x:v>Contatore</x:v>
      </x:c>
      <x:c r="B24" s="286" t="str">
        <x:v>VAR-N-01</x:v>
      </x:c>
      <x:c r="C24" s="286" t="str">
        <x:v>VAR-N-02</x:v>
      </x:c>
      <x:c r="D24" s="286" t="str">
        <x:v>VAR-N-03</x:v>
      </x:c>
      <x:c r="E24" s="286" t="str">
        <x:v>Conclusione</x:v>
      </x:c>
      <x:c r="F24" s="286"/>
      <x:c r="G24" s="286"/>
      <x:c r="H24" s="286"/>
      <x:c r="I24" s="286"/>
      <x:c r="J24" s="286"/>
      <x:c r="K24" s="286"/>
      <x:c r="L24" s="286"/>
      <x:c r="M24" s="286"/>
      <x:c r="N24" s="286"/>
    </x:row>
    <x:row r="25" ht="28" customHeight="1">
      <x:c r="A25" s="10" t="str">
        <x:v>Task generati</x:v>
      </x:c>
      <x:c r="B25" s="10" t="n">
        <x:v>9306</x:v>
      </x:c>
      <x:c r="C25" s="10" t="n">
        <x:v>9306</x:v>
      </x:c>
      <x:c r="D25" s="10" t="n">
        <x:v>9306</x:v>
      </x:c>
      <x:c r="E25" s="10" t="str">
        <x:v>Identici</x:v>
      </x:c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ht="28" customHeight="1">
      <x:c r="A26" s="10" t="str">
        <x:v>Task rimossi</x:v>
      </x:c>
      <x:c r="B26" s="10" t="n">
        <x:v>9241</x:v>
      </x:c>
      <x:c r="C26" s="10" t="n">
        <x:v>9241</x:v>
      </x:c>
      <x:c r="D26" s="10" t="n">
        <x:v>9241</x:v>
      </x:c>
      <x:c r="E26" s="10" t="str">
        <x:v>Identici</x:v>
      </x:c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 ht="28" customHeight="1">
      <x:c r="A27" s="10" t="str">
        <x:v>Pending finali</x:v>
      </x:c>
      <x:c r="B27" s="10" t="n">
        <x:v>65</x:v>
      </x:c>
      <x:c r="C27" s="10" t="n">
        <x:v>65</x:v>
      </x:c>
      <x:c r="D27" s="10" t="n">
        <x:v>65</x:v>
      </x:c>
      <x:c r="E27" s="10" t="str">
        <x:v>Identici</x:v>
      </x:c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 ht="28" customHeight="1">
      <x:c r="A28" s="10" t="str">
        <x:v>Snapshot req./resolved</x:v>
      </x:c>
      <x:c r="B28" s="10" t="str">
        <x:v>3000/2981</x:v>
      </x:c>
      <x:c r="C28" s="10" t="str">
        <x:v>3000/2981</x:v>
      </x:c>
      <x:c r="D28" s="10" t="str">
        <x:v>3000/2981</x:v>
      </x:c>
      <x:c r="E28" s="10" t="str">
        <x:v>Identici</x:v>
      </x:c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 ht="28" customHeight="1">
      <x:c r="A29" s="10" t="str">
        <x:v>Runtime medio (s)</x:v>
      </x:c>
      <x:c r="B29" s="10" t="n">
        <x:v>0.034014784</x:v>
      </x:c>
      <x:c r="C29" s="10" t="n">
        <x:v>0.036719315</x:v>
      </x:c>
      <x:c r="D29" s="10" t="n">
        <x:v>0.044145135</x:v>
      </x:c>
      <x:c r="E29" s="10" t="str">
        <x:v>CV 11.184%: variabilità host</x:v>
      </x:c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 ht="28" customHeight="1">
      <x:c r="A30" s="10" t="str">
        <x:v>GA submitted</x:v>
      </x:c>
      <x:c r="B30" s="10" t="n">
        <x:v>616</x:v>
      </x:c>
      <x:c r="C30" s="10" t="n">
        <x:v>550</x:v>
      </x:c>
      <x:c r="D30" s="10" t="n">
        <x:v>474</x:v>
      </x:c>
      <x:c r="E30" s="10" t="str">
        <x:v>Variabile per asincronia wall-clock</x:v>
      </x:c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2">
      <x:c r="A32" s="286" t="str">
        <x:v>Sintesi nominal extended e limite stress</x:v>
      </x:c>
      <x:c r="B32" s="286"/>
      <x:c r="C32" s="286"/>
      <x:c r="D32" s="286"/>
      <x:c r="E32" s="286"/>
      <x:c r="F32" s="286"/>
      <x:c r="G32" s="286"/>
      <x:c r="H32" s="286"/>
      <x:c r="I32" s="286"/>
      <x:c r="J32" s="286"/>
      <x:c r="K32" s="286"/>
      <x:c r="L32" s="286"/>
      <x:c r="M32" s="286"/>
      <x:c r="N32" s="286"/>
    </x:row>
    <x:row r="33">
      <x:c r="A33" s="286" t="str">
        <x:v>Voce</x:v>
      </x:c>
      <x:c r="B33" s="286" t="str">
        <x:v>Valore</x:v>
      </x:c>
      <x:c r="C33" s="286" t="str">
        <x:v>Unità / stato</x:v>
      </x:c>
      <x:c r="D33" s="286" t="str">
        <x:v>Interpretazione</x:v>
      </x:c>
      <x:c r="E33" s="286"/>
      <x:c r="F33" s="286"/>
      <x:c r="G33" s="286"/>
      <x:c r="H33" s="286"/>
      <x:c r="I33" s="286"/>
      <x:c r="J33" s="286"/>
      <x:c r="K33" s="286"/>
      <x:c r="L33" s="286"/>
      <x:c r="M33" s="286"/>
      <x:c r="N33" s="286"/>
    </x:row>
    <x:row r="34" ht="30" customHeight="1">
      <x:c r="A34" s="10" t="str">
        <x:v>CFG-N-I-EXT</x:v>
      </x:c>
      <x:c r="B34" s="10" t="str">
        <x:v>5/5 PASS</x:v>
      </x:c>
      <x:c r="C34" s="10" t="str">
        <x:v>600 s</x:v>
      </x:c>
      <x:c r="D34" s="10" t="str">
        <x:v>Profili nominali stabili; ultimo apply 599,9–600 s.</x:v>
      </x:c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 ht="30" customHeight="1">
      <x:c r="A35" s="10" t="str">
        <x:v>Task generati</x:v>
      </x:c>
      <x:c r="B35" s="10" t="n">
        <x:v>96337</x:v>
      </x:c>
      <x:c r="C35" s="10" t="str">
        <x:v>task</x:v>
      </x:c>
      <x:c r="D35" s="10" t="str">
        <x:v>Somma delle cinque run.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 ht="30" customHeight="1">
      <x:c r="A36" s="10" t="str">
        <x:v>GA sub/comp/appl</x:v>
      </x:c>
      <x:c r="B36" s="10" t="str">
        <x:v>6021/6021/5968</x:v>
      </x:c>
      <x:c r="C36" s="10" t="str">
        <x:v>job</x:v>
      </x:c>
      <x:c r="D36" s="10" t="str">
        <x:v>Submitted = completed.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 ht="30" customHeight="1">
      <x:c r="A37" s="10" t="str">
        <x:v>Stale</x:v>
      </x:c>
      <x:c r="B37" s="10" t="n">
        <x:v>53</x:v>
      </x:c>
      <x:c r="C37" s="10" t="str">
        <x:v>0.880252% pesato</x:v>
      </x:c>
      <x:c r="D37" s="10" t="str">
        <x:v>Crescita nei seed con runtime più alto, senza violazioni.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 ht="30" customHeight="1">
      <x:c r="A38" s="10" t="str">
        <x:v>Runtime massimo</x:v>
      </x:c>
      <x:c r="B38" s="10" t="n">
        <x:v>0.5132551</x:v>
      </x:c>
      <x:c r="C38" s="10" t="str">
        <x:v>s</x:v>
      </x:c>
      <x:c r="D38" s="10" t="str">
        <x:v>Massimo osservato nelle cinque run nominal extended.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 ht="30" customHeight="1">
      <x:c r="A39" s="278" t="str">
        <x:v>H-S-EXT-01</x:v>
      </x:c>
      <x:c r="B39" s="278" t="str">
        <x:v>OPTIONAL_STRESS_LIMIT</x:v>
      </x:c>
      <x:c r="C39" s="278" t="str">
        <x:v>464/600 s</x:v>
      </x:c>
      <x:c r="D39" s="278" t="str">
        <x:v>Interruzione federato SUMO/TraCI; limite dello stress profile.</x:v>
      </x:c>
      <x:c r="E39" s="278"/>
      <x:c r="F39" s="278"/>
      <x:c r="G39" s="278"/>
      <x:c r="H39" s="278"/>
      <x:c r="I39" s="278"/>
      <x:c r="J39" s="278"/>
      <x:c r="K39" s="278"/>
      <x:c r="L39" s="278"/>
      <x:c r="M39" s="278"/>
      <x:c r="N39" s="278"/>
    </x:row>
    <x:row r="40" ht="30" customHeight="1">
      <x:c r="A40" s="10" t="str">
        <x:v>taskCompletionModel</x:v>
      </x:c>
      <x:c r="B40" s="10" t="str">
        <x:v>NOT_IMPLEMENTED</x:v>
      </x:c>
      <x:c r="C40" s="10" t="str">
        <x:v>—</x:v>
      </x:c>
      <x:c r="D40" s="10" t="str">
        <x:v>Non calcolare completion rate.</x:v>
      </x:c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</x:sheetData>
  <x:mergeCells>
    <x:mergeCell ref="A1:N1"/>
    <x:mergeCell ref="A2:N2"/>
    <x:mergeCell ref="A23:N23"/>
    <x:mergeCell ref="A32:N32"/>
    <x:mergeCell ref="E24:N24"/>
    <x:mergeCell ref="E25:N25"/>
    <x:mergeCell ref="E26:N26"/>
    <x:mergeCell ref="E27:N27"/>
    <x:mergeCell ref="E28:N28"/>
    <x:mergeCell ref="E29:N29"/>
    <x:mergeCell ref="E30:N30"/>
    <x:mergeCell ref="D33:N33"/>
    <x:mergeCell ref="D34:N34"/>
    <x:mergeCell ref="D35:N35"/>
    <x:mergeCell ref="D36:N36"/>
    <x:mergeCell ref="D37:N37"/>
    <x:mergeCell ref="D38:N38"/>
    <x:mergeCell ref="D39:N39"/>
    <x:mergeCell ref="D40:N4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22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5" hidden="0" customWidth="1"/>
  </x:cols>
  <x:sheetData>
    <x:row r="1" ht="30" customHeight="1">
      <x:c r="A1" s="348" t="str">
        <x:v>G04 — risultati finali mobilità e connettività</x:v>
      </x:c>
      <x:c r="B1" s="348"/>
      <x:c r="C1" s="348"/>
      <x:c r="D1" s="348"/>
      <x:c r="E1" s="348"/>
      <x:c r="F1" s="348"/>
      <x:c r="G1" s="348"/>
      <x:c r="H1" s="348"/>
      <x:c r="I1" s="348"/>
      <x:c r="J1" s="348"/>
      <x:c r="K1" s="348"/>
      <x:c r="L1" s="348"/>
      <x:c r="M1" s="348"/>
      <x:c r="N1" s="348"/>
      <x:c r="O1" s="348"/>
      <x:c r="P1" s="348"/>
      <x:c r="Q1" s="348"/>
      <x:c r="R1" s="348"/>
      <x:c r="S1" s="348"/>
    </x:row>
    <x:row r="2" ht="36" customHeight="1">
      <x:c r="A2" s="352" t="str">
        <x:v>G04 originale PASS_WITH_OBSERVABILITY_LIMITS; G04-R recupera T-096 e T-098. T-091 resta parziale e T-094 non osservato.</x:v>
      </x:c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4">
      <x:c r="A4" s="354" t="str">
        <x:v>Indicatore</x:v>
      </x:c>
      <x:c r="B4" s="354" t="str">
        <x:v>Valore</x:v>
      </x:c>
      <x:c r="C4" s="354" t="str">
        <x:v>Indicatore</x:v>
      </x:c>
      <x:c r="D4" s="354" t="str">
        <x:v>Valore</x:v>
      </x:c>
      <x:c r="E4" s="354" t="str">
        <x:v>Indicatore</x:v>
      </x:c>
      <x:c r="F4" s="354" t="str">
        <x:v>Valore</x:v>
      </x:c>
      <x:c r="G4" s="354" t="str">
        <x:v>Indicatore</x:v>
      </x:c>
      <x:c r="H4" s="354" t="str">
        <x:v>Valore</x:v>
      </x:c>
    </x:row>
    <x:row r="5">
      <x:c r="A5" s="316" t="str">
        <x:v>Run tecniche G04 PASS</x:v>
      </x:c>
      <x:c r="B5" s="317" t="str">
        <x:v>5/5</x:v>
      </x:c>
      <x:c r="C5" s="317" t="str">
        <x:v>Run mirata G04-R</x:v>
      </x:c>
      <x:c r="D5" s="317" t="str">
        <x:v>1/1</x:v>
      </x:c>
      <x:c r="E5" s="317" t="str">
        <x:v>FAIL funzionali</x:v>
      </x:c>
      <x:c r="F5" s="317" t="n">
        <x:v>0</x:v>
      </x:c>
      <x:c r="G5" s="317" t="str">
        <x:v>Stato complessivo</x:v>
      </x:c>
      <x:c r="H5" s="356" t="str">
        <x:v>PASS_WITH_RECOVERED_CONTROLLED_MOBILITY_EVIDENCE</x:v>
      </x:c>
      <x:c r="I5"/>
      <x:c r="J5"/>
      <x:c r="K5"/>
      <x:c r="L5"/>
      <x:c r="M5"/>
      <x:c r="N5"/>
      <x:c r="O5"/>
      <x:c r="P5"/>
      <x:c r="Q5"/>
      <x:c r="R5"/>
      <x:c r="S5"/>
    </x:row>
    <x:row r="6">
      <x:c r="A6" s="321" t="str">
        <x:v>Snapshot lag massimo</x:v>
      </x:c>
      <x:c r="B6" s="322" t="n">
        <x:v>0</x:v>
      </x:c>
      <x:c r="C6" s="322" t="str">
        <x:v>Violazioni runtime</x:v>
      </x:c>
      <x:c r="D6" s="322" t="n">
        <x:v>0</x:v>
      </x:c>
      <x:c r="E6" s="322" t="str">
        <x:v>Gateway transitions</x:v>
      </x:c>
      <x:c r="F6" s="322" t="str">
        <x:v>0 G04 / 1 G04-R</x:v>
      </x:c>
      <x:c r="G6" s="322" t="str">
        <x:v>taskCompletionModel</x:v>
      </x:c>
      <x:c r="H6" s="323" t="str">
        <x:v>NOT_IMPLEMENTED</x:v>
      </x:c>
      <x:c r="I6"/>
      <x:c r="J6"/>
      <x:c r="K6"/>
      <x:c r="L6"/>
      <x:c r="M6"/>
      <x:c r="N6"/>
      <x:c r="O6"/>
      <x:c r="P6"/>
      <x:c r="Q6"/>
      <x:c r="R6"/>
      <x:c r="S6"/>
    </x:row>
    <x:row r="9">
      <x:c r="A9" s="354" t="str">
        <x:v>Run</x:v>
      </x:c>
      <x:c r="B9" s="354" t="str">
        <x:v>Configurazione</x:v>
      </x:c>
      <x:c r="C9" s="354" t="str">
        <x:v>Densità</x:v>
      </x:c>
      <x:c r="D9" s="354" t="str">
        <x:v>Stato run</x:v>
      </x:c>
      <x:c r="E9" s="354" t="str">
        <x:v>Validator</x:v>
      </x:c>
      <x:c r="F9" s="354" t="str">
        <x:v>Errori</x:v>
      </x:c>
      <x:c r="G9" s="354" t="str">
        <x:v>Warning</x:v>
      </x:c>
      <x:c r="H9" s="354" t="str">
        <x:v>Task</x:v>
      </x:c>
      <x:c r="I9" s="354" t="str">
        <x:v>GA sub</x:v>
      </x:c>
      <x:c r="J9" s="354" t="str">
        <x:v>GA comp</x:v>
      </x:c>
      <x:c r="K9" s="354" t="str">
        <x:v>GA appl</x:v>
      </x:c>
      <x:c r="L9" s="354" t="str">
        <x:v>Stale</x:v>
      </x:c>
      <x:c r="M9" s="354" t="str">
        <x:v>Stale %</x:v>
      </x:c>
      <x:c r="N9" s="354" t="str">
        <x:v>Runtime medio (s)</x:v>
      </x:c>
      <x:c r="O9" s="354" t="str">
        <x:v>Runtime P95 (s)</x:v>
      </x:c>
      <x:c r="P9" s="354" t="str">
        <x:v>Runtime max (s)</x:v>
      </x:c>
      <x:c r="Q9" s="354" t="str">
        <x:v>LOCAL</x:v>
      </x:c>
      <x:c r="R9" s="354" t="str">
        <x:v>VEHICLE</x:v>
      </x:c>
      <x:c r="S9" s="354" t="str">
        <x:v>EDGE/CLOUD</x:v>
      </x:c>
    </x:row>
    <x:row r="10">
      <x:c r="A10" s="316" t="str">
        <x:v>M-BACKGROUND-01</x:v>
      </x:c>
      <x:c r="B10" s="317" t="str">
        <x:v>CFG-M-BACKGROUND</x:v>
      </x:c>
      <x:c r="C10" s="317" t="str">
        <x:v>nominal</x:v>
      </x:c>
      <x:c r="D10" s="358" t="str">
        <x:v>PASS</x:v>
      </x:c>
      <x:c r="E10" s="317" t="str">
        <x:v>LITERATURE_SMOKE_TEST_PASSED</x:v>
      </x:c>
      <x:c r="F10" s="317" t="n">
        <x:v>0</x:v>
      </x:c>
      <x:c r="G10" s="317" t="n">
        <x:v>0</x:v>
      </x:c>
      <x:c r="H10" s="317" t="n">
        <x:v>5901</x:v>
      </x:c>
      <x:c r="I10" s="317" t="n">
        <x:v>416</x:v>
      </x:c>
      <x:c r="J10" s="317" t="n">
        <x:v>416</x:v>
      </x:c>
      <x:c r="K10" s="317" t="n">
        <x:v>411</x:v>
      </x:c>
      <x:c r="L10" s="317" t="n">
        <x:v>5</x:v>
      </x:c>
      <x:c r="M10" s="377" t="n">
        <x:v>1.201923</x:v>
      </x:c>
      <x:c r="N10" s="377" t="n">
        <x:v>0.04782185</x:v>
      </x:c>
      <x:c r="O10" s="377" t="n">
        <x:v>0.1340819</x:v>
      </x:c>
      <x:c r="P10" s="377" t="n">
        <x:v>0.3081506</x:v>
      </x:c>
      <x:c r="Q10" s="317" t="n">
        <x:v>13894</x:v>
      </x:c>
      <x:c r="R10" s="317" t="n">
        <x:v>0</x:v>
      </x:c>
      <x:c r="S10" s="318" t="str">
        <x:v>0 / 0</x:v>
      </x:c>
    </x:row>
    <x:row r="11">
      <x:c r="A11" s="319" t="str">
        <x:v>M-RSU0-01</x:v>
      </x:c>
      <x:c r="B11" s="92" t="str">
        <x:v>CFG-M-RSU0</x:v>
      </x:c>
      <x:c r="C11" s="92" t="str">
        <x:v>nominal</x:v>
      </x:c>
      <x:c r="D11" s="360" t="str">
        <x:v>PASS</x:v>
      </x:c>
      <x:c r="E11" s="92" t="str">
        <x:v>LITERATURE_SMOKE_TEST_PASSED</x:v>
      </x:c>
      <x:c r="F11" s="92" t="n">
        <x:v>0</x:v>
      </x:c>
      <x:c r="G11" s="92" t="n">
        <x:v>0</x:v>
      </x:c>
      <x:c r="H11" s="92" t="n">
        <x:v>5299</x:v>
      </x:c>
      <x:c r="I11" s="92" t="n">
        <x:v>370</x:v>
      </x:c>
      <x:c r="J11" s="92" t="n">
        <x:v>370</x:v>
      </x:c>
      <x:c r="K11" s="92" t="n">
        <x:v>369</x:v>
      </x:c>
      <x:c r="L11" s="92" t="n">
        <x:v>1</x:v>
      </x:c>
      <x:c r="M11" s="378" t="n">
        <x:v>0.27027</x:v>
      </x:c>
      <x:c r="N11" s="378" t="n">
        <x:v>0.058549806</x:v>
      </x:c>
      <x:c r="O11" s="378" t="n">
        <x:v>0.1384453</x:v>
      </x:c>
      <x:c r="P11" s="378" t="n">
        <x:v>0.2034126</x:v>
      </x:c>
      <x:c r="Q11" s="92" t="n">
        <x:v>11234</x:v>
      </x:c>
      <x:c r="R11" s="92" t="n">
        <x:v>0</x:v>
      </x:c>
      <x:c r="S11" s="320" t="str">
        <x:v>0 / 0</x:v>
      </x:c>
    </x:row>
    <x:row r="12">
      <x:c r="A12" s="319" t="str">
        <x:v>M-RSU1-01</x:v>
      </x:c>
      <x:c r="B12" s="92" t="str">
        <x:v>CFG-M-RSU1</x:v>
      </x:c>
      <x:c r="C12" s="92" t="str">
        <x:v>nominal</x:v>
      </x:c>
      <x:c r="D12" s="360" t="str">
        <x:v>PASS</x:v>
      </x:c>
      <x:c r="E12" s="92" t="str">
        <x:v>LITERATURE_SMOKE_TEST_PASSED</x:v>
      </x:c>
      <x:c r="F12" s="92" t="n">
        <x:v>0</x:v>
      </x:c>
      <x:c r="G12" s="92" t="n">
        <x:v>0</x:v>
      </x:c>
      <x:c r="H12" s="92" t="n">
        <x:v>2887</x:v>
      </x:c>
      <x:c r="I12" s="92" t="n">
        <x:v>427</x:v>
      </x:c>
      <x:c r="J12" s="92" t="n">
        <x:v>427</x:v>
      </x:c>
      <x:c r="K12" s="92" t="n">
        <x:v>427</x:v>
      </x:c>
      <x:c r="L12" s="92" t="n">
        <x:v>0</x:v>
      </x:c>
      <x:c r="M12" s="378" t="n">
        <x:v>0</x:v>
      </x:c>
      <x:c r="N12" s="378" t="n">
        <x:v>0.028549481</x:v>
      </x:c>
      <x:c r="O12" s="378" t="n">
        <x:v>0.065512</x:v>
      </x:c>
      <x:c r="P12" s="378" t="n">
        <x:v>0.124636</x:v>
      </x:c>
      <x:c r="Q12" s="92" t="n">
        <x:v>7079</x:v>
      </x:c>
      <x:c r="R12" s="92" t="n">
        <x:v>0</x:v>
      </x:c>
      <x:c r="S12" s="320" t="str">
        <x:v>0 / 2</x:v>
      </x:c>
    </x:row>
    <x:row r="13">
      <x:c r="A13" s="319" t="str">
        <x:v>M-SWITCH-01</x:v>
      </x:c>
      <x:c r="B13" s="92" t="str">
        <x:v>CFG-M-SWITCH</x:v>
      </x:c>
      <x:c r="C13" s="92" t="str">
        <x:v>nominal</x:v>
      </x:c>
      <x:c r="D13" s="341" t="str">
        <x:v>PASS_CON_LIMITAZIONE</x:v>
      </x:c>
      <x:c r="E13" s="92" t="str">
        <x:v>LITERATURE_SMOKE_TEST_PASSED</x:v>
      </x:c>
      <x:c r="F13" s="92" t="n">
        <x:v>0</x:v>
      </x:c>
      <x:c r="G13" s="92" t="n">
        <x:v>0</x:v>
      </x:c>
      <x:c r="H13" s="92" t="n">
        <x:v>6141</x:v>
      </x:c>
      <x:c r="I13" s="92" t="n">
        <x:v>309</x:v>
      </x:c>
      <x:c r="J13" s="92" t="n">
        <x:v>309</x:v>
      </x:c>
      <x:c r="K13" s="92" t="n">
        <x:v>294</x:v>
      </x:c>
      <x:c r="L13" s="92" t="n">
        <x:v>15</x:v>
      </x:c>
      <x:c r="M13" s="378" t="n">
        <x:v>4.854369</x:v>
      </x:c>
      <x:c r="N13" s="378" t="n">
        <x:v>0.090603552</x:v>
      </x:c>
      <x:c r="O13" s="378" t="n">
        <x:v>0.1926574</x:v>
      </x:c>
      <x:c r="P13" s="378" t="n">
        <x:v>0.3723984</x:v>
      </x:c>
      <x:c r="Q13" s="92" t="n">
        <x:v>9418</x:v>
      </x:c>
      <x:c r="R13" s="92" t="n">
        <x:v>0</x:v>
      </x:c>
      <x:c r="S13" s="320" t="str">
        <x:v>0 / 0</x:v>
      </x:c>
    </x:row>
    <x:row r="14">
      <x:c r="A14" s="321" t="str">
        <x:v>M-V2V-01</x:v>
      </x:c>
      <x:c r="B14" s="322" t="str">
        <x:v>CFG-M-V2V</x:v>
      </x:c>
      <x:c r="C14" s="322" t="str">
        <x:v>high_density</x:v>
      </x:c>
      <x:c r="D14" s="362" t="str">
        <x:v>PASS_CON_LIMITAZIONE</x:v>
      </x:c>
      <x:c r="E14" s="322" t="str">
        <x:v>LITERATURE_SMOKE_TEST_PASSED</x:v>
      </x:c>
      <x:c r="F14" s="322" t="n">
        <x:v>0</x:v>
      </x:c>
      <x:c r="G14" s="322" t="n">
        <x:v>0</x:v>
      </x:c>
      <x:c r="H14" s="322" t="n">
        <x:v>9396</x:v>
      </x:c>
      <x:c r="I14" s="322" t="n">
        <x:v>193</x:v>
      </x:c>
      <x:c r="J14" s="322" t="n">
        <x:v>193</x:v>
      </x:c>
      <x:c r="K14" s="322" t="n">
        <x:v>100</x:v>
      </x:c>
      <x:c r="L14" s="322" t="n">
        <x:v>93</x:v>
      </x:c>
      <x:c r="M14" s="379" t="n">
        <x:v>48.186528</x:v>
      </x:c>
      <x:c r="N14" s="379" t="n">
        <x:v>0.367724152</x:v>
      </x:c>
      <x:c r="O14" s="379" t="n">
        <x:v>1.1884472</x:v>
      </x:c>
      <x:c r="P14" s="379" t="n">
        <x:v>1.3606641</x:v>
      </x:c>
      <x:c r="Q14" s="322" t="n">
        <x:v>2096</x:v>
      </x:c>
      <x:c r="R14" s="322" t="n">
        <x:v>0</x:v>
      </x:c>
      <x:c r="S14" s="323" t="str">
        <x:v>0 / 0</x:v>
      </x:c>
    </x:row>
    <x:row r="15">
      <x:c r="A15" s="366" t="str">
        <x:v>TOTALE / AGGREGATO</x:v>
      </x:c>
      <x:c r="B15" s="367" t="str"/>
      <x:c r="C15" s="367" t="str"/>
      <x:c r="D15" s="367" t="str"/>
      <x:c r="E15" s="367" t="str"/>
      <x:c r="F15" s="367" t="n">
        <x:v>0</x:v>
      </x:c>
      <x:c r="G15" s="367" t="n">
        <x:v>0</x:v>
      </x:c>
      <x:c r="H15" s="367" t="n">
        <x:f>SUM(H10:H14)</x:f>
        <x:v>29624</x:v>
      </x:c>
      <x:c r="I15" s="367" t="n">
        <x:f>SUM(I10:I14)</x:f>
        <x:v>1715</x:v>
      </x:c>
      <x:c r="J15" s="367" t="n">
        <x:f>SUM(J10:J14)</x:f>
        <x:v>1715</x:v>
      </x:c>
      <x:c r="K15" s="367" t="n">
        <x:f>SUM(K10:K14)</x:f>
        <x:v>1601</x:v>
      </x:c>
      <x:c r="L15" s="367" t="n">
        <x:f>SUM(L10:L14)</x:f>
        <x:v>114</x:v>
      </x:c>
      <x:c r="M15" s="380" t="n">
        <x:f>L15/I15*100</x:f>
        <x:v>6.647230320699708</x:v>
      </x:c>
      <x:c r="N15" s="380" t="n">
        <x:f>SUMPRODUCT(N10:N14,I10:I14)/SUM(I10:I14)</x:f>
        <x:v>0.08904676682857143</x:v>
      </x:c>
      <x:c r="O15" s="380" t="n">
        <x:f>MAX(O10:O14)</x:f>
        <x:v>1.1884472</x:v>
      </x:c>
      <x:c r="P15" s="380" t="n">
        <x:f>MAX(P10:P14)</x:f>
        <x:v>1.3606641</x:v>
      </x:c>
      <x:c r="Q15" s="367" t="n">
        <x:f>SUM(Q10:Q14)</x:f>
        <x:v>43721</x:v>
      </x:c>
      <x:c r="R15" s="367" t="n">
        <x:f>SUM(R10:R14)</x:f>
        <x:v>0</x:v>
      </x:c>
      <x:c r="S15" s="368" t="str">
        <x:v>0 / 2</x:v>
      </x:c>
    </x:row>
    <x:row r="18">
      <x:c r="A18" s="372" t="str">
        <x:v>Verdetti funzionali T-090–T-099</x:v>
      </x:c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  <x:c r="S18" s="372"/>
    </x:row>
    <x:row r="19">
      <x:c r="A19" s="354" t="str">
        <x:v>Test</x:v>
      </x:c>
      <x:c r="B19" s="354" t="str">
        <x:v>Funzione</x:v>
      </x:c>
      <x:c r="C19" s="354" t="str">
        <x:v>Configurazioni</x:v>
      </x:c>
      <x:c r="D19" s="354" t="str">
        <x:v>Evidenza osservata</x:v>
      </x:c>
      <x:c r="E19" s="354" t="str">
        <x:v>Criterio</x:v>
      </x:c>
      <x:c r="F19" s="354" t="str">
        <x:v>Verdetto</x:v>
      </x:c>
      <x:c r="G19" s="354" t="str">
        <x:v>Motivazione / limite</x:v>
      </x:c>
      <x:c r="H19" s="354" t="str">
        <x:v>Tipo di prova</x:v>
      </x:c>
    </x:row>
    <x:row r="20">
      <x:c r="A20" s="316" t="str">
        <x:v>T-090</x:v>
      </x:c>
      <x:c r="B20" s="317" t="str">
        <x:v>LOCAL_CONVENTIONAL</x:v>
      </x:c>
      <x:c r="C20" s="317" t="str">
        <x:v>M-BACKGROUND</x:v>
      </x:c>
      <x:c r="D20" s="317" t="str">
        <x:v>14.233 geni locali; componenti mobility 0</x:v>
      </x:c>
      <x:c r="E20" s="317" t="str">
        <x:v>Coerenza caso locale</x:v>
      </x:c>
      <x:c r="F20" s="358" t="str">
        <x:v>PASS</x:v>
      </x:c>
      <x:c r="G20" s="317" t="str">
        <x:v>Caso locale ampiamente osservato</x:v>
      </x:c>
      <x:c r="H20" s="318" t="str">
        <x:v>Strategie applicate</x:v>
      </x:c>
    </x:row>
    <x:row r="21">
      <x:c r="A21" s="319" t="str">
        <x:v>T-091</x:v>
      </x:c>
      <x:c r="B21" s="92" t="str">
        <x:v>EDGE_GEOMETRIC</x:v>
      </x:c>
      <x:c r="C21" s="92" t="str">
        <x:v>M-RSU0; M-RSU1; recovery R-LOCALCPU</x:v>
      </x:c>
      <x:c r="D21" s="92" t="str">
        <x:v>Candidati EDGE; 1 gene EDGE stale; 4 EDGE applicati nelle recovery LOCALCPU</x:v>
      </x:c>
      <x:c r="E21" s="92" t="str">
        <x:v>phiLink geometrico EDGE</x:v>
      </x:c>
      <x:c r="F21" s="374" t="str">
        <x:v>EVIDENZA_PARZIALE</x:v>
      </x:c>
      <x:c r="G21" s="92" t="str">
        <x:v>Supporto post-G05, ma non validazione della variante EDGECPU</x:v>
      </x:c>
      <x:c r="H21" s="320" t="str">
        <x:v>Candidato + stale + recovery</x:v>
      </x:c>
    </x:row>
    <x:row r="22">
      <x:c r="A22" s="319" t="str">
        <x:v>T-091</x:v>
      </x:c>
      <x:c r="B22" s="92" t="str">
        <x:v>EDGE_GEOMETRIC</x:v>
      </x:c>
      <x:c r="C22" s="92" t="str">
        <x:v>M-RSU0; M-RSU1; recovery R-LOCALCPU; G04-R</x:v>
      </x:c>
      <x:c r="D22" s="92" t="str">
        <x:v>4 EDGE applicati in recovery G05; 0 EDGE in G04-R</x:v>
      </x:c>
      <x:c r="E22" s="92" t="str">
        <x:v>Gene EDGE applicato</x:v>
      </x:c>
      <x:c r="F22" s="341" t="str">
        <x:v>EVIDENZA_PARZIALE</x:v>
      </x:c>
      <x:c r="G22" s="92" t="str">
        <x:v>G04-R conferma offloading remoto ma solo CLOUD</x:v>
      </x:c>
      <x:c r="H22" s="320" t="str">
        <x:v>Evidenza cross-fase</x:v>
      </x:c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s="319" t="str">
        <x:v>T-093</x:v>
      </x:c>
      <x:c r="B23" s="92" t="str">
        <x:v>V2V_SCALAR_RELATIVE_SPEED</x:v>
      </x:c>
      <x:c r="C23" s="92" t="str">
        <x:v>M-V2V; R-LOCALCPU; R-RTT</x:v>
      </x:c>
      <x:c r="D23" s="92" t="str">
        <x:v>VEHICLE applicato in R-LOCALCPU e R-RTT</x:v>
      </x:c>
      <x:c r="E23" s="92" t="str">
        <x:v>Metriche V2V finite e decisione applicata</x:v>
      </x:c>
      <x:c r="F23" s="341" t="str">
        <x:v>PASS_RECOVERED</x:v>
      </x:c>
      <x:c r="G23" s="92" t="str">
        <x:v>Evidenza recuperata durante G05</x:v>
      </x:c>
      <x:c r="H23" s="320" t="str">
        <x:v>Strategie applicate</x:v>
      </x:c>
    </x:row>
    <x:row r="24">
      <x:c r="A24" s="319" t="str">
        <x:v>T-094</x:v>
      </x:c>
      <x:c r="B24" s="92" t="str">
        <x:v>Coverage insufficiente</x:v>
      </x:c>
      <x:c r="C24" s="92" t="str">
        <x:v>M-SWITCH; G05 RTT/CELLBW; recovery LOCALCPU</x:v>
      </x:c>
      <x:c r="D24" s="92" t="str">
        <x:v>Nessun coverage insufficient applicato</x:v>
      </x:c>
      <x:c r="E24" s="92" t="str">
        <x:v>completion &gt; coverage</x:v>
      </x:c>
      <x:c r="F24" s="343" t="str">
        <x:v>NON_OSSERVATO</x:v>
      </x:c>
      <x:c r="G24" s="92" t="str">
        <x:v>Casi stale non usati come prova</x:v>
      </x:c>
      <x:c r="H24" s="320" t="str">
        <x:v>Evidenza negativa</x:v>
      </x:c>
    </x:row>
    <x:row r="25">
      <x:c r="A25" s="319" t="str">
        <x:v>T-094</x:v>
      </x:c>
      <x:c r="B25" s="92" t="str">
        <x:v>Coverage insufficiente</x:v>
      </x:c>
      <x:c r="C25" s="92" t="str">
        <x:v>M-SWITCH; G05; G04-R</x:v>
      </x:c>
      <x:c r="D25" s="92" t="str">
        <x:v>0 coverage insufficient applicati</x:v>
      </x:c>
      <x:c r="E25" s="92" t="str">
        <x:v>completion &gt; coverage</x:v>
      </x:c>
      <x:c r="F25" s="341" t="str">
        <x:v>NON_OSSERVATO</x:v>
      </x:c>
      <x:c r="G25" s="92" t="str">
        <x:v>G04-R non forza il caso; nessun rerun dedicato</x:v>
      </x:c>
      <x:c r="H25" s="320" t="str">
        <x:v>Evidenza negativa</x:v>
      </x:c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 s="319" t="str">
        <x:v>T-096</x:v>
      </x:c>
      <x:c r="B26" s="92" t="str">
        <x:v>Handover risk / phiHo</x:v>
      </x:c>
      <x:c r="C26" s="92" t="str">
        <x:v>M-SWITCH; M-RSU1</x:v>
      </x:c>
      <x:c r="D26" s="92" t="str">
        <x:v>phiHo non nullo; 0 switch</x:v>
      </x:c>
      <x:c r="E26" s="92" t="str">
        <x:v>Aumento vicino transizione</x:v>
      </x:c>
      <x:c r="F26" s="374" t="str">
        <x:v>EVIDENZA_PARZIALE</x:v>
      </x:c>
      <x:c r="G26" s="92" t="str">
        <x:v>Manca una transizione dimostrata</x:v>
      </x:c>
      <x:c r="H26" s="320" t="str">
        <x:v>Geni remoti</x:v>
      </x:c>
    </x:row>
    <x:row r="27">
      <x:c r="A27" s="319" t="str">
        <x:v>T-096</x:v>
      </x:c>
      <x:c r="B27" s="92" t="str">
        <x:v>Handover risk / transizione</x:v>
      </x:c>
      <x:c r="C27" s="92" t="str">
        <x:v>G04-R-HANDOVER</x:v>
      </x:c>
      <x:c r="D27" s="92" t="str">
        <x:v>Switch rsu_0→rsu_1 a 81,8 s; 1.548 snapshot probe</x:v>
      </x:c>
      <x:c r="E27" s="92" t="str">
        <x:v>Transizione runtime dimostrata</x:v>
      </x:c>
      <x:c r="F27" s="341" t="str">
        <x:v>PASS_RECOVERED</x:v>
      </x:c>
      <x:c r="G27" s="92" t="str">
        <x:v>Prova causale ottenuta nella run mirata</x:v>
      </x:c>
      <x:c r="H27" s="320" t="str">
        <x:v>Timeline probe</x:v>
      </x:c>
      <x:c r="I27"/>
      <x:c r="J27"/>
      <x:c r="K27"/>
      <x:c r="L27"/>
      <x:c r="M27"/>
      <x:c r="N27"/>
      <x:c r="O27"/>
      <x:c r="P27"/>
      <x:c r="Q27"/>
      <x:c r="R27"/>
      <x:c r="S27"/>
    </x:row>
    <x:row r="28">
      <x:c r="A28" s="319" t="str">
        <x:v>T-098</x:v>
      </x:c>
      <x:c r="B28" s="92" t="str">
        <x:v>Gateway switch</x:v>
      </x:c>
      <x:c r="C28" s="92" t="str">
        <x:v>M-SWITCH</x:v>
      </x:c>
      <x:c r="D28" s="92" t="str">
        <x:v>0 transizioni</x:v>
      </x:c>
      <x:c r="E28" s="92" t="str">
        <x:v>Almeno una transizione</x:v>
      </x:c>
      <x:c r="F28" s="343" t="str">
        <x:v>NON_OSSERVATO</x:v>
      </x:c>
      <x:c r="G28" s="92" t="str">
        <x:v>CSV contiene solo intestazione</x:v>
      </x:c>
      <x:c r="H28" s="320" t="str">
        <x:v>Evidenza negativa</x:v>
      </x:c>
    </x:row>
    <x:row r="29">
      <x:c r="A29" s="321" t="str">
        <x:v>T-098</x:v>
      </x:c>
      <x:c r="B29" s="322" t="str">
        <x:v>Gateway switch con offloading</x:v>
      </x:c>
      <x:c r="C29" s="322" t="str">
        <x:v>G04-R-HANDOVER</x:v>
      </x:c>
      <x:c r="D29" s="322" t="str">
        <x:v>123 geni CLOUD applicati; 38 prima, 51 vicino, 13 dopo</x:v>
      </x:c>
      <x:c r="E29" s="322" t="str">
        <x:v>Switch + decisioni remote correlate</x:v>
      </x:c>
      <x:c r="F29" s="376" t="str">
        <x:v>PASS_RECOVERED</x:v>
      </x:c>
      <x:c r="G29" s="322" t="str">
        <x:v>Task e strategie remote osservati attorno alla transizione</x:v>
      </x:c>
      <x:c r="H29" s="323" t="str">
        <x:v>Timeline + genes</x:v>
      </x:c>
      <x:c r="I29"/>
      <x:c r="J29"/>
      <x:c r="K29"/>
      <x:c r="L29"/>
      <x:c r="M29"/>
      <x:c r="N29"/>
      <x:c r="O29"/>
      <x:c r="P29"/>
      <x:c r="Q29"/>
      <x:c r="R29"/>
      <x:c r="S29"/>
    </x:row>
    <x:row r="32">
      <x:c r="A32" s="372" t="str">
        <x:v>Limiti e interpretazione</x:v>
      </x:c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  <x:c r="S32" s="372"/>
    </x:row>
    <x:row r="33">
      <x:c r="A33" s="333" t="str">
        <x:v>Tema</x:v>
      </x:c>
      <x:c r="B33" s="335" t="str">
        <x:v>Conclusione</x:v>
      </x:c>
    </x:row>
    <x:row r="34">
      <x:c r="A34" s="319" t="str">
        <x:v>Gateway switch</x:v>
      </x:c>
      <x:c r="B34" s="320" t="str">
        <x:v>Recuperato in G04-R con una transizione controllata; non generalizzare oltre la run mirata.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>
      <x:c r="A35" s="319" t="str">
        <x:v>Gateway switch</x:v>
      </x:c>
      <x:c r="B35" s="320" t="str">
        <x:v>Non osservato; non dichiarare una transizione non presente nel CSV.</x:v>
      </x:c>
    </x:row>
    <x:row r="36">
      <x:c r="A36" s="319" t="str">
        <x:v>M-V2V-01</x:v>
      </x:c>
      <x:c r="B36" s="320" t="str">
        <x:v>Stale ratio 48,186528%; limite operativo documentato, non errore core automatico.</x:v>
      </x:c>
    </x:row>
    <x:row r="37">
      <x:c r="A37" s="319" t="str">
        <x:v>Completion</x:v>
      </x:c>
      <x:c r="B37" s="320" t="str">
        <x:v>taskCompletionModel=NOT_IMPLEMENTED; nessun completion rate.</x:v>
      </x:c>
    </x:row>
    <x:row r="38">
      <x:c r="A38" s="321" t="str">
        <x:v>SUMO</x:v>
      </x:c>
      <x:c r="B38" s="323" t="str">
        <x:v>sumoErrors, teleports ed emergencyBraking null: non trasformare in zero.</x:v>
      </x:c>
    </x:row>
  </x:sheetData>
  <x:mergeCells>
    <x:mergeCell ref="A1:S1"/>
    <x:mergeCell ref="A2:S2"/>
    <x:mergeCell ref="A18:S18"/>
    <x:mergeCell ref="A32:S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34" hidden="0" customWidth="1"/>
    <x:col min="6" max="6" width="15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4" hidden="0" customWidth="1"/>
    <x:col min="19" max="19" width="38" hidden="0" customWidth="1"/>
  </x:cols>
  <x:sheetData>
    <x:row r="1">
      <x:c r="A1" s="402" t="str">
        <x:v>G05 — risultati finali risorse, repair e limiti temporali</x:v>
      </x:c>
      <x:c r="B1" s="402"/>
      <x:c r="C1" s="402"/>
      <x:c r="D1" s="402"/>
      <x:c r="E1" s="402"/>
      <x:c r="F1" s="402"/>
      <x:c r="G1" s="402"/>
      <x:c r="H1" s="402"/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</x:row>
    <x:row r="2">
      <x:c r="A2" s="404" t="str">
        <x:v>PASS_WITH_RESOURCE_AND_TEMPORAL_LIMITS: 6/6 run tecniche PASS; R-LOCALCPU riprodotta; G06 chiusa.</x:v>
      </x:c>
      <x:c r="B2" s="404"/>
      <x:c r="C2" s="404"/>
      <x:c r="D2" s="404"/>
      <x:c r="E2" s="404"/>
      <x:c r="F2" s="404"/>
      <x:c r="G2" s="404"/>
      <x:c r="H2" s="404"/>
      <x:c r="I2" s="404"/>
      <x:c r="J2" s="404"/>
      <x:c r="K2" s="404"/>
      <x:c r="L2" s="404"/>
      <x:c r="M2" s="404"/>
      <x:c r="N2" s="404"/>
      <x:c r="O2" s="404"/>
      <x:c r="P2" s="404"/>
      <x:c r="Q2" s="404"/>
      <x:c r="R2" s="404"/>
      <x:c r="S2" s="404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>
      <x:c r="A4" s="410" t="str">
        <x:v>Indicatore</x:v>
      </x:c>
      <x:c r="B4" s="410" t="str">
        <x:v>Valore</x:v>
      </x:c>
      <x:c r="C4" s="410" t="str">
        <x:v>Indicatore</x:v>
      </x:c>
      <x:c r="D4" s="410" t="str">
        <x:v>Valore</x:v>
      </x:c>
      <x:c r="E4" s="410" t="str">
        <x:v>Indicatore</x:v>
      </x:c>
      <x:c r="F4" s="410" t="str">
        <x:v>Valore</x:v>
      </x:c>
      <x:c r="G4" s="410" t="str">
        <x:v>Indicatore</x:v>
      </x:c>
      <x:c r="H4" s="410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>
      <x:c r="A5" s="10" t="str">
        <x:v>Run tecniche PASS</x:v>
      </x:c>
      <x:c r="B5" s="10" t="str">
        <x:v>6/6</x:v>
      </x:c>
      <x:c r="C5" s="10" t="str">
        <x:v>Recovery LOCALCPU</x:v>
      </x:c>
      <x:c r="D5" s="10" t="str">
        <x:v>2/2</x:v>
      </x:c>
      <x:c r="E5" s="10" t="str">
        <x:v>FAIL tecnici</x:v>
      </x:c>
      <x:c r="F5" s="10" t="n">
        <x:v>0</x:v>
      </x:c>
      <x:c r="G5" s="10" t="str">
        <x:v>Stato</x:v>
      </x:c>
      <x:c r="H5" s="10" t="str">
        <x:v>PASS_WITH_RESOURCE_AND_TEMPORAL_LIMITS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>
      <x:c r="A6" s="10" t="str">
        <x:v>Snapshot lag massimo</x:v>
      </x:c>
      <x:c r="B6" s="10" t="n">
        <x:v>0</x:v>
      </x:c>
      <x:c r="C6" s="10" t="str">
        <x:v>Violazioni runtime</x:v>
      </x:c>
      <x:c r="D6" s="10" t="n">
        <x:v>0</x:v>
      </x:c>
      <x:c r="E6" s="10" t="str">
        <x:v>T-093</x:v>
      </x:c>
      <x:c r="F6" s="10" t="str">
        <x:v>PASS_RECOVERED</x:v>
      </x:c>
      <x:c r="G6" s="10" t="str">
        <x:v>Completion model</x:v>
      </x:c>
      <x:c r="H6" s="10" t="str">
        <x:v>NOT_IMPLEMENTED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</x:row>
    <x:row r="9">
      <x:c r="A9" s="410" t="str">
        <x:v>Run</x:v>
      </x:c>
      <x:c r="B9" s="410" t="str">
        <x:v>Configurazione</x:v>
      </x:c>
      <x:c r="C9" s="410" t="str">
        <x:v>Densità</x:v>
      </x:c>
      <x:c r="D9" s="410" t="str">
        <x:v>Workload</x:v>
      </x:c>
      <x:c r="E9" s="410" t="str">
        <x:v>Verdetto</x:v>
      </x:c>
      <x:c r="F9" s="410" t="str">
        <x:v>Target esercitato</x:v>
      </x:c>
      <x:c r="G9" s="410" t="str">
        <x:v>Task</x:v>
      </x:c>
      <x:c r="H9" s="410" t="str">
        <x:v>GA sub</x:v>
      </x:c>
      <x:c r="I9" s="410" t="str">
        <x:v>GA appl</x:v>
      </x:c>
      <x:c r="J9" s="410" t="str">
        <x:v>Stale %</x:v>
      </x:c>
      <x:c r="K9" s="410" t="str">
        <x:v>Runtime medio (s)</x:v>
      </x:c>
      <x:c r="L9" s="410" t="str">
        <x:v>P95 (s)</x:v>
      </x:c>
      <x:c r="M9" s="410" t="str">
        <x:v>Max (s)</x:v>
      </x:c>
      <x:c r="N9" s="410" t="str">
        <x:v>LOCAL</x:v>
      </x:c>
      <x:c r="O9" s="410" t="str">
        <x:v>VEHICLE</x:v>
      </x:c>
      <x:c r="P9" s="410" t="str">
        <x:v>EDGE</x:v>
      </x:c>
      <x:c r="Q9" s="410" t="str">
        <x:v>CLOUD</x:v>
      </x:c>
      <x:c r="R9" s="410" t="str">
        <x:v>Baseline</x:v>
      </x:c>
      <x:c r="S9" s="410" t="str">
        <x:v>Nota</x:v>
      </x:c>
    </x:row>
    <x:row r="10">
      <x:c r="A10" s="10" t="str">
        <x:v>R-LOCALCPU-01</x:v>
      </x:c>
      <x:c r="B10" s="10" t="str">
        <x:v>CFG-R-LOCALCPU</x:v>
      </x:c>
      <x:c r="C10" s="10" t="str">
        <x:v>nominal</x:v>
      </x:c>
      <x:c r="D10" s="10" t="str">
        <x:v>WL-S</x:v>
      </x:c>
      <x:c r="E10" s="10" t="str">
        <x:v>PASS_WITH_REPRODUCIBLE_TEMPORAL_LIMIT</x:v>
      </x:c>
      <x:c r="F10" s="48" t="b">
        <x:v>1</x:v>
      </x:c>
      <x:c r="G10" s="10" t="n">
        <x:v>5640</x:v>
      </x:c>
      <x:c r="H10" s="10" t="n">
        <x:v>36</x:v>
      </x:c>
      <x:c r="I10" s="10" t="n">
        <x:v>27</x:v>
      </x:c>
      <x:c r="J10" s="117" t="n">
        <x:v>25</x:v>
      </x:c>
      <x:c r="K10" s="117" t="n">
        <x:v>0.841311894</x:v>
      </x:c>
      <x:c r="L10" s="117" t="n">
        <x:v>6.5993911</x:v>
      </x:c>
      <x:c r="M10" s="117" t="n">
        <x:v>8.0695931</x:v>
      </x:c>
      <x:c r="N10" s="10" t="n">
        <x:v>4</x:v>
      </x:c>
      <x:c r="O10" s="10" t="n">
        <x:v>2</x:v>
      </x:c>
      <x:c r="P10" s="10" t="n">
        <x:v>0</x:v>
      </x:c>
      <x:c r="Q10" s="10" t="n">
        <x:v>0</x:v>
      </x:c>
      <x:c r="R10" s="10" t="str">
        <x:v>CFG-N-S</x:v>
      </x:c>
      <x:c r="S10" s="10" t="str">
        <x:v>La CPU locale dimezzata produce offloading remoto in tre osservazioni, ma il runtime smette di applicare strategie molto prima della fine.</x:v>
      </x:c>
    </x:row>
    <x:row r="11">
      <x:c r="A11" s="10" t="str">
        <x:v>R-EDGECPU-01</x:v>
      </x:c>
      <x:c r="B11" s="10" t="str">
        <x:v>CFG-R-EDGECPU</x:v>
      </x:c>
      <x:c r="C11" s="10" t="str">
        <x:v>nominal</x:v>
      </x:c>
      <x:c r="D11" s="10" t="str">
        <x:v>WL-S</x:v>
      </x:c>
      <x:c r="E11" s="10" t="str">
        <x:v>PASS_TECHNICAL_TARGET_RESOURCE_NOT_EXERCISED</x:v>
      </x:c>
      <x:c r="F11" s="48" t="b">
        <x:v>0</x:v>
      </x:c>
      <x:c r="G11" s="10" t="n">
        <x:v>5640</x:v>
      </x:c>
      <x:c r="H11" s="10" t="n">
        <x:v>253</x:v>
      </x:c>
      <x:c r="I11" s="10" t="n">
        <x:v>215</x:v>
      </x:c>
      <x:c r="J11" s="117" t="n">
        <x:v>15.019763</x:v>
      </x:c>
      <x:c r="K11" s="117" t="n">
        <x:v>0.117136995</x:v>
      </x:c>
      <x:c r="L11" s="117" t="n">
        <x:v>0.317922</x:v>
      </x:c>
      <x:c r="M11" s="117" t="n">
        <x:v>0.4380151</x:v>
      </x:c>
      <x:c r="N11" s="10" t="n">
        <x:v>10831</x:v>
      </x:c>
      <x:c r="O11" s="10" t="n">
        <x:v>0</x:v>
      </x:c>
      <x:c r="P11" s="10" t="n">
        <x:v>0</x:v>
      </x:c>
      <x:c r="Q11" s="10" t="n">
        <x:v>0</x:v>
      </x:c>
      <x:c r="R11" s="10" t="str">
        <x:v>CFG-N-S</x:v>
      </x:c>
      <x:c r="S11" s="10" t="str">
        <x:v>La CPU EDGE ridotta viene caricata correttamente, ma EDGE non viene selezionato nelle strategie applicate.</x:v>
      </x:c>
    </x:row>
    <x:row r="12">
      <x:c r="A12" s="10" t="str">
        <x:v>R-CLOUDCPU-01</x:v>
      </x:c>
      <x:c r="B12" s="10" t="str">
        <x:v>CFG-R-CLOUDCPU</x:v>
      </x:c>
      <x:c r="C12" s="10" t="str">
        <x:v>nominal</x:v>
      </x:c>
      <x:c r="D12" s="10" t="str">
        <x:v>WL-S</x:v>
      </x:c>
      <x:c r="E12" s="10" t="str">
        <x:v>PASS_TECHNICAL_TARGET_RESOURCE_NOT_EXERCISED</x:v>
      </x:c>
      <x:c r="F12" s="48" t="b">
        <x:v>0</x:v>
      </x:c>
      <x:c r="G12" s="10" t="n">
        <x:v>5640</x:v>
      </x:c>
      <x:c r="H12" s="10" t="n">
        <x:v>235</x:v>
      </x:c>
      <x:c r="I12" s="10" t="n">
        <x:v>184</x:v>
      </x:c>
      <x:c r="J12" s="117" t="n">
        <x:v>21.702128</x:v>
      </x:c>
      <x:c r="K12" s="117" t="n">
        <x:v>0.116567889</x:v>
      </x:c>
      <x:c r="L12" s="117" t="n">
        <x:v>0.3192771</x:v>
      </x:c>
      <x:c r="M12" s="117" t="n">
        <x:v>0.3910472</x:v>
      </x:c>
      <x:c r="N12" s="10" t="n">
        <x:v>8142</x:v>
      </x:c>
      <x:c r="O12" s="10" t="n">
        <x:v>0</x:v>
      </x:c>
      <x:c r="P12" s="10" t="n">
        <x:v>0</x:v>
      </x:c>
      <x:c r="Q12" s="10" t="n">
        <x:v>0</x:v>
      </x:c>
      <x:c r="R12" s="10" t="str">
        <x:v>CFG-N-S</x:v>
      </x:c>
      <x:c r="S12" s="10" t="str">
        <x:v>La CPU CLOUD ridotta viene caricata correttamente, ma CLOUD non viene selezionato nelle strategie applicate.</x:v>
      </x:c>
    </x:row>
    <x:row r="13">
      <x:c r="A13" s="10" t="str">
        <x:v>R-CELLBW-01</x:v>
      </x:c>
      <x:c r="B13" s="10" t="str">
        <x:v>CFG-R-CELLBW</x:v>
      </x:c>
      <x:c r="C13" s="10" t="str">
        <x:v>nominal</x:v>
      </x:c>
      <x:c r="D13" s="10" t="str">
        <x:v>WL-S</x:v>
      </x:c>
      <x:c r="E13" s="10" t="str">
        <x:v>PASS_TECHNICAL_TARGET_LINK_NOT_EXERCISED</x:v>
      </x:c>
      <x:c r="F13" s="48" t="b">
        <x:v>0</x:v>
      </x:c>
      <x:c r="G13" s="10" t="n">
        <x:v>5640</x:v>
      </x:c>
      <x:c r="H13" s="10" t="n">
        <x:v>246</x:v>
      </x:c>
      <x:c r="I13" s="10" t="n">
        <x:v>201</x:v>
      </x:c>
      <x:c r="J13" s="117" t="n">
        <x:v>18.292683</x:v>
      </x:c>
      <x:c r="K13" s="117" t="n">
        <x:v>0.108499519</x:v>
      </x:c>
      <x:c r="L13" s="117" t="n">
        <x:v>0.2920895</x:v>
      </x:c>
      <x:c r="M13" s="117" t="n">
        <x:v>0.3887449</x:v>
      </x:c>
      <x:c r="N13" s="10" t="n">
        <x:v>9408</x:v>
      </x:c>
      <x:c r="O13" s="10" t="n">
        <x:v>0</x:v>
      </x:c>
      <x:c r="P13" s="10" t="n">
        <x:v>0</x:v>
      </x:c>
      <x:c r="Q13" s="10" t="n">
        <x:v>0</x:v>
      </x:c>
      <x:c r="R13" s="10" t="str">
        <x:v>CFG-N-S</x:v>
      </x:c>
      <x:c r="S13" s="10" t="str">
        <x:v>La banda CELL ridotta non viene attraversata da assegnazioni EDGE o CLOUD applicate.</x:v>
      </x:c>
    </x:row>
    <x:row r="14">
      <x:c r="A14" s="10" t="str">
        <x:v>R-RTT-01</x:v>
      </x:c>
      <x:c r="B14" s="10" t="str">
        <x:v>CFG-R-RTT</x:v>
      </x:c>
      <x:c r="C14" s="10" t="str">
        <x:v>nominal</x:v>
      </x:c>
      <x:c r="D14" s="10" t="str">
        <x:v>WL-I</x:v>
      </x:c>
      <x:c r="E14" s="10" t="str">
        <x:v>PASS_STABLE_TARGET_LINK_NOT_EXERCISED</x:v>
      </x:c>
      <x:c r="F14" s="48" t="b">
        <x:v>0</x:v>
      </x:c>
      <x:c r="G14" s="10" t="n">
        <x:v>5640</x:v>
      </x:c>
      <x:c r="H14" s="10" t="n">
        <x:v>326</x:v>
      </x:c>
      <x:c r="I14" s="10" t="n">
        <x:v>325</x:v>
      </x:c>
      <x:c r="J14" s="117" t="n">
        <x:v>0.306748</x:v>
      </x:c>
      <x:c r="K14" s="117" t="n">
        <x:v>0.069136274</x:v>
      </x:c>
      <x:c r="L14" s="117" t="n">
        <x:v>0.1515473</x:v>
      </x:c>
      <x:c r="M14" s="117" t="n">
        <x:v>0.2063555</x:v>
      </x:c>
      <x:c r="N14" s="10" t="n">
        <x:v>10389</x:v>
      </x:c>
      <x:c r="O14" s="10" t="n">
        <x:v>1</x:v>
      </x:c>
      <x:c r="P14" s="10" t="n">
        <x:v>0</x:v>
      </x:c>
      <x:c r="Q14" s="10" t="n">
        <x:v>0</x:v>
      </x:c>
      <x:c r="R14" s="10" t="str">
        <x:v>CFG-N-I</x:v>
      </x:c>
      <x:c r="S14" s="10" t="str">
        <x:v>La run resta stabile, ma il RTT CELL aumentato non viene realmente esercitato da scelte EDGE o CLOUD.</x:v>
      </x:c>
    </x:row>
    <x:row r="15">
      <x:c r="A15" s="10" t="str">
        <x:v>R-V2VBW-01</x:v>
      </x:c>
      <x:c r="B15" s="10" t="str">
        <x:v>CFG-R-V2VBW</x:v>
      </x:c>
      <x:c r="C15" s="10" t="str">
        <x:v>high_density</x:v>
      </x:c>
      <x:c r="D15" s="10" t="str">
        <x:v>WL-S</x:v>
      </x:c>
      <x:c r="E15" s="10" t="str">
        <x:v>PASS_WITH_STRESS_LIMIT_TARGET_NOT_EXERCISED</x:v>
      </x:c>
      <x:c r="F15" s="48" t="b">
        <x:v>0</x:v>
      </x:c>
      <x:c r="G15" s="10" t="n">
        <x:v>9396</x:v>
      </x:c>
      <x:c r="H15" s="10" t="n">
        <x:v>141</x:v>
      </x:c>
      <x:c r="I15" s="10" t="n">
        <x:v>75</x:v>
      </x:c>
      <x:c r="J15" s="117" t="n">
        <x:v>46.808511</x:v>
      </x:c>
      <x:c r="K15" s="117" t="n">
        <x:v>0.556510694</x:v>
      </x:c>
      <x:c r="L15" s="117" t="n">
        <x:v>1.9080536</x:v>
      </x:c>
      <x:c r="M15" s="117" t="n">
        <x:v>2.3316465</x:v>
      </x:c>
      <x:c r="N15" s="10" t="n">
        <x:v>2291</x:v>
      </x:c>
      <x:c r="O15" s="10" t="n">
        <x:v>0</x:v>
      </x:c>
      <x:c r="P15" s="10" t="n">
        <x:v>0</x:v>
      </x:c>
      <x:c r="Q15" s="10" t="n">
        <x:v>0</x:v>
      </x:c>
      <x:c r="R15" s="10" t="str">
        <x:v>CFG-H-S</x:v>
      </x:c>
      <x:c r="S15" s="10" t="str">
        <x:v>Lo stress profile high_density aumenta runtime e stale ratio; nessuna assegnazione VEHICLE viene applicata.</x:v>
      </x:c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>
      <x:c r="A18" s="406" t="str">
        <x:v>R-LOCALCPU — riproducibilità dell’effetto e del limite temporale</x:v>
      </x:c>
      <x:c r="B18" s="406"/>
      <x:c r="C18" s="406"/>
      <x:c r="D18" s="406"/>
      <x:c r="E18" s="406"/>
      <x:c r="F18" s="406"/>
      <x:c r="G18" s="406"/>
      <x:c r="H18" s="406"/>
      <x:c r="I18" s="406"/>
      <x:c r="J18" s="406"/>
      <x:c r="K18" s="406"/>
      <x:c r="L18" s="406"/>
      <x:c r="M18" s="406"/>
      <x:c r="N18" s="406"/>
      <x:c r="O18" s="406"/>
      <x:c r="P18" s="406"/>
      <x:c r="Q18" s="406"/>
      <x:c r="R18" s="406"/>
      <x:c r="S18" s="406"/>
    </x:row>
    <x:row r="19">
      <x:c r="A19" s="410" t="str">
        <x:v>Osservazione</x:v>
      </x:c>
      <x:c r="B19" s="410" t="str">
        <x:v>Tipo</x:v>
      </x:c>
      <x:c r="C19" s="410" t="str">
        <x:v>Run</x:v>
      </x:c>
      <x:c r="D19" s="410" t="str">
        <x:v>Task</x:v>
      </x:c>
      <x:c r="E19" s="410" t="str">
        <x:v>GA sub</x:v>
      </x:c>
      <x:c r="F19" s="410" t="str">
        <x:v>GA appl</x:v>
      </x:c>
      <x:c r="G19" s="410" t="str">
        <x:v>Stale %</x:v>
      </x:c>
      <x:c r="H19" s="410" t="str">
        <x:v>Ultimo apply (s)</x:v>
      </x:c>
      <x:c r="I19" s="410" t="str">
        <x:v>Gap finale (s)</x:v>
      </x:c>
      <x:c r="J19" s="410" t="str">
        <x:v>Classe temporale</x:v>
      </x:c>
      <x:c r="K19" s="410" t="str">
        <x:v>Classe effetto</x:v>
      </x:c>
      <x:c r="L19" s="410" t="str">
        <x:v>Runtime medio</x:v>
      </x:c>
      <x:c r="M19" s="410" t="str">
        <x:v>P95</x:v>
      </x:c>
      <x:c r="N19" s="410" t="str">
        <x:v>Max</x:v>
      </x:c>
      <x:c r="O19" s="410" t="str">
        <x:v>LOCAL</x:v>
      </x:c>
      <x:c r="P19" s="410" t="str">
        <x:v>VEHICLE</x:v>
      </x:c>
      <x:c r="Q19" s="410" t="str">
        <x:v>EDGE/CLOUD</x:v>
      </x:c>
      <x:c r="R19" s="10"/>
      <x:c r="S19" s="10"/>
    </x:row>
    <x:row r="20">
      <x:c r="A20" s="10" t="str">
        <x:v>ORIGINAL_BATCH</x:v>
      </x:c>
      <x:c r="B20" s="10" t="str">
        <x:v>ORIGINAL</x:v>
      </x:c>
      <x:c r="C20" s="10" t="str">
        <x:v>log-20260624-120059-MaGaLiteratureBasedUrbanStudy</x:v>
      </x:c>
      <x:c r="D20" s="10" t="n">
        <x:v>5640</x:v>
      </x:c>
      <x:c r="E20" s="10" t="n">
        <x:v>36</x:v>
      </x:c>
      <x:c r="F20" s="10" t="n">
        <x:v>27</x:v>
      </x:c>
      <x:c r="G20" s="117" t="n">
        <x:v>25</x:v>
      </x:c>
      <x:c r="H20" s="117" t="n">
        <x:v>7.7</x:v>
      </x:c>
      <x:c r="I20" s="117" t="n">
        <x:v>172.3</x:v>
      </x:c>
      <x:c r="J20" s="117" t="str">
        <x:v>LONG_FINAL_GAP</x:v>
      </x:c>
      <x:c r="K20" s="117" t="str">
        <x:v>REMOTE_OFFLOADING_APPLIED</x:v>
      </x:c>
      <x:c r="L20" s="117" t="n">
        <x:v>0.841311894</x:v>
      </x:c>
      <x:c r="M20" s="117" t="n">
        <x:v>6.5993911</x:v>
      </x:c>
      <x:c r="N20" s="117" t="n">
        <x:v>8.0695931</x:v>
      </x:c>
      <x:c r="O20" s="10" t="n">
        <x:v>4</x:v>
      </x:c>
      <x:c r="P20" s="10" t="n">
        <x:v>2</x:v>
      </x:c>
      <x:c r="Q20" s="10" t="str">
        <x:v>0 / 0</x:v>
      </x:c>
      <x:c r="R20" s="10"/>
      <x:c r="S20" s="10"/>
    </x:row>
    <x:row r="21">
      <x:c r="A21" s="10" t="str">
        <x:v>RECOVERY_A</x:v>
      </x:c>
      <x:c r="B21" s="10" t="str">
        <x:v>RECOVERY</x:v>
      </x:c>
      <x:c r="C21" s="10" t="str">
        <x:v>log-20260624-145136-MaGaLiteratureBasedUrbanStudy</x:v>
      </x:c>
      <x:c r="D21" s="10" t="n">
        <x:v>5640</x:v>
      </x:c>
      <x:c r="E21" s="10" t="n">
        <x:v>39</x:v>
      </x:c>
      <x:c r="F21" s="10" t="n">
        <x:v>29</x:v>
      </x:c>
      <x:c r="G21" s="117" t="n">
        <x:v>25.641026</x:v>
      </x:c>
      <x:c r="H21" s="117" t="n">
        <x:v>24.9</x:v>
      </x:c>
      <x:c r="I21" s="117" t="n">
        <x:v>155.1</x:v>
      </x:c>
      <x:c r="J21" s="117" t="str">
        <x:v>LONG_FINAL_GAP</x:v>
      </x:c>
      <x:c r="K21" s="117" t="str">
        <x:v>REMOTE_OFFLOADING_APPLIED</x:v>
      </x:c>
      <x:c r="L21" s="117" t="n">
        <x:v>0.416934344</x:v>
      </x:c>
      <x:c r="M21" s="117" t="n">
        <x:v>2.6708256</x:v>
      </x:c>
      <x:c r="N21" s="117" t="n">
        <x:v>4.0606694</x:v>
      </x:c>
      <x:c r="O21" s="10" t="n">
        <x:v>9</x:v>
      </x:c>
      <x:c r="P21" s="10" t="n">
        <x:v>23</x:v>
      </x:c>
      <x:c r="Q21" s="10" t="str">
        <x:v>1 / 2</x:v>
      </x:c>
      <x:c r="R21" s="10"/>
      <x:c r="S21" s="10"/>
    </x:row>
    <x:row r="22">
      <x:c r="A22" s="10" t="str">
        <x:v>RECOVERY_B</x:v>
      </x:c>
      <x:c r="B22" s="10" t="str">
        <x:v>RECOVERY</x:v>
      </x:c>
      <x:c r="C22" s="10" t="str">
        <x:v>log-20260624-145211-MaGaLiteratureBasedUrbanStudy</x:v>
      </x:c>
      <x:c r="D22" s="10" t="n">
        <x:v>5640</x:v>
      </x:c>
      <x:c r="E22" s="10" t="n">
        <x:v>39</x:v>
      </x:c>
      <x:c r="F22" s="10" t="n">
        <x:v>29</x:v>
      </x:c>
      <x:c r="G22" s="117" t="n">
        <x:v>25.641026</x:v>
      </x:c>
      <x:c r="H22" s="117" t="n">
        <x:v>12.1</x:v>
      </x:c>
      <x:c r="I22" s="117" t="n">
        <x:v>167.9</x:v>
      </x:c>
      <x:c r="J22" s="117" t="str">
        <x:v>LONG_FINAL_GAP</x:v>
      </x:c>
      <x:c r="K22" s="117" t="str">
        <x:v>REMOTE_OFFLOADING_APPLIED</x:v>
      </x:c>
      <x:c r="L22" s="117" t="n">
        <x:v>0.405645003</x:v>
      </x:c>
      <x:c r="M22" s="117" t="n">
        <x:v>2.9906015</x:v>
      </x:c>
      <x:c r="N22" s="117" t="n">
        <x:v>4.2521479</x:v>
      </x:c>
      <x:c r="O22" s="10" t="n">
        <x:v>10</x:v>
      </x:c>
      <x:c r="P22" s="10" t="n">
        <x:v>9</x:v>
      </x:c>
      <x:c r="Q22" s="10" t="str">
        <x:v>3 / 2</x:v>
      </x:c>
      <x:c r="R22" s="10"/>
      <x:c r="S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>
      <x:c r="A25" s="406" t="str">
        <x:v>Confronto normalizzato con baseline G02 già esistenti</x:v>
      </x:c>
      <x:c r="B25" s="406"/>
      <x:c r="C25" s="406"/>
      <x:c r="D25" s="406"/>
      <x:c r="E25" s="406"/>
      <x:c r="F25" s="406"/>
      <x:c r="G25" s="406"/>
      <x:c r="H25" s="406"/>
      <x:c r="I25" s="406"/>
      <x:c r="J25" s="406"/>
      <x:c r="K25" s="406"/>
      <x:c r="L25" s="406"/>
      <x:c r="M25" s="406"/>
      <x:c r="N25" s="406"/>
      <x:c r="O25" s="406"/>
      <x:c r="P25" s="406"/>
      <x:c r="Q25" s="406"/>
      <x:c r="R25" s="406"/>
      <x:c r="S25" s="406"/>
    </x:row>
    <x:row r="26">
      <x:c r="A26" s="410" t="str">
        <x:v>Run</x:v>
      </x:c>
      <x:c r="B26" s="410" t="str">
        <x:v>Baseline</x:v>
      </x:c>
      <x:c r="C26" s="410" t="str">
        <x:v>Durata G05/G02</x:v>
      </x:c>
      <x:c r="D26" s="410" t="str">
        <x:v>Task/s G05</x:v>
      </x:c>
      <x:c r="E26" s="410" t="str">
        <x:v>Task/s baseline 5-seed</x:v>
      </x:c>
      <x:c r="F26" s="410" t="str">
        <x:v>Stale G05 %</x:v>
      </x:c>
      <x:c r="G26" s="410" t="str">
        <x:v>Stale baseline %</x:v>
      </x:c>
      <x:c r="H26" s="410" t="str">
        <x:v>Runtime medio ratio</x:v>
      </x:c>
      <x:c r="I26" s="410" t="str">
        <x:v>P95 ratio</x:v>
      </x:c>
      <x:c r="J26" s="410" t="str">
        <x:v>Nota comparabilità</x:v>
      </x:c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>
      <x:c r="A27" s="10" t="str">
        <x:v>R-LOCALCPU-01</x:v>
      </x:c>
      <x:c r="B27" s="10" t="str">
        <x:v>CFG-N-S</x:v>
      </x:c>
      <x:c r="C27" s="10" t="str">
        <x:v>180/300</x:v>
      </x:c>
      <x:c r="D27" s="117" t="n">
        <x:v>31.3333333333333</x:v>
      </x:c>
      <x:c r="E27" s="117" t="n">
        <x:v>30.9833333333333</x:v>
      </x:c>
      <x:c r="F27" s="117" t="n">
        <x:v>25</x:v>
      </x:c>
      <x:c r="G27" s="117" t="n">
        <x:v>11.9346474</x:v>
      </x:c>
      <x:c r="H27" s="117" t="n">
        <x:v>8.32856504893921</x:v>
      </x:c>
      <x:c r="I27" s="117" t="n">
        <x:v>23.5433276797972</x:v>
      </x:c>
      <x:c r="J27" s="10" t="str">
        <x:v>Stessa sorgente congelata; durata diversa; JAR non byte-identico.</x:v>
      </x:c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>
      <x:c r="A28" s="10" t="str">
        <x:v>R-EDGECPU-01</x:v>
      </x:c>
      <x:c r="B28" s="10" t="str">
        <x:v>CFG-N-S</x:v>
      </x:c>
      <x:c r="C28" s="10" t="str">
        <x:v>180/300</x:v>
      </x:c>
      <x:c r="D28" s="117" t="n">
        <x:v>31.3333333333333</x:v>
      </x:c>
      <x:c r="E28" s="117" t="n">
        <x:v>30.9833333333333</x:v>
      </x:c>
      <x:c r="F28" s="117" t="n">
        <x:v>15.019763</x:v>
      </x:c>
      <x:c r="G28" s="117" t="n">
        <x:v>11.9346474</x:v>
      </x:c>
      <x:c r="H28" s="117" t="n">
        <x:v>1.159597397175</x:v>
      </x:c>
      <x:c r="I28" s="117" t="n">
        <x:v>1.13418673165415</x:v>
      </x:c>
      <x:c r="J28" s="10" t="str">
        <x:v>Stessa sorgente congelata; durata diversa; JAR non byte-identico.</x:v>
      </x:c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>
      <x:c r="A29" s="10" t="str">
        <x:v>R-CLOUDCPU-01</x:v>
      </x:c>
      <x:c r="B29" s="10" t="str">
        <x:v>CFG-N-S</x:v>
      </x:c>
      <x:c r="C29" s="10" t="str">
        <x:v>180/300</x:v>
      </x:c>
      <x:c r="D29" s="117" t="n">
        <x:v>31.3333333333333</x:v>
      </x:c>
      <x:c r="E29" s="117" t="n">
        <x:v>30.9833333333333</x:v>
      </x:c>
      <x:c r="F29" s="117" t="n">
        <x:v>21.702128</x:v>
      </x:c>
      <x:c r="G29" s="117" t="n">
        <x:v>11.9346474</x:v>
      </x:c>
      <x:c r="H29" s="117" t="n">
        <x:v>1.15396353371182</x:v>
      </x:c>
      <x:c r="I29" s="117" t="n">
        <x:v>1.13902105088989</x:v>
      </x:c>
      <x:c r="J29" s="10" t="str">
        <x:v>Stessa sorgente congelata; durata diversa; JAR non byte-identico.</x:v>
      </x:c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>
      <x:c r="A30" s="10" t="str">
        <x:v>R-CELLBW-01</x:v>
      </x:c>
      <x:c r="B30" s="10" t="str">
        <x:v>CFG-N-S</x:v>
      </x:c>
      <x:c r="C30" s="10" t="str">
        <x:v>180/300</x:v>
      </x:c>
      <x:c r="D30" s="117" t="n">
        <x:v>31.3333333333333</x:v>
      </x:c>
      <x:c r="E30" s="117" t="n">
        <x:v>30.9833333333333</x:v>
      </x:c>
      <x:c r="F30" s="117" t="n">
        <x:v>18.292683</x:v>
      </x:c>
      <x:c r="G30" s="117" t="n">
        <x:v>11.9346474</x:v>
      </x:c>
      <x:c r="H30" s="117" t="n">
        <x:v>1.07409072451568</x:v>
      </x:c>
      <x:c r="I30" s="117" t="n">
        <x:v>1.04202928817601</x:v>
      </x:c>
      <x:c r="J30" s="10" t="str">
        <x:v>Stessa sorgente congelata; durata diversa; JAR non byte-identico.</x:v>
      </x:c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>
      <x:c r="A31" s="10" t="str">
        <x:v>R-RTT-01</x:v>
      </x:c>
      <x:c r="B31" s="10" t="str">
        <x:v>CFG-N-I</x:v>
      </x:c>
      <x:c r="C31" s="10" t="str">
        <x:v>180/300</x:v>
      </x:c>
      <x:c r="D31" s="117" t="n">
        <x:v>31.3333333333333</x:v>
      </x:c>
      <x:c r="E31" s="117" t="n">
        <x:v>30.9833333333333</x:v>
      </x:c>
      <x:c r="F31" s="117" t="n">
        <x:v>0.306748</x:v>
      </x:c>
      <x:c r="G31" s="117" t="n">
        <x:v>0.4053886</x:v>
      </x:c>
      <x:c r="H31" s="117" t="n">
        <x:v>1.05449975589166</x:v>
      </x:c>
      <x:c r="I31" s="117" t="n">
        <x:v>1.03762492973398</x:v>
      </x:c>
      <x:c r="J31" s="10" t="str">
        <x:v>Stessa sorgente congelata; durata diversa; JAR non byte-identico.</x:v>
      </x:c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>
      <x:c r="A32" s="10" t="str">
        <x:v>R-V2VBW-01</x:v>
      </x:c>
      <x:c r="B32" s="10" t="str">
        <x:v>CFG-H-S</x:v>
      </x:c>
      <x:c r="C32" s="10" t="str">
        <x:v>180/300</x:v>
      </x:c>
      <x:c r="D32" s="117" t="n">
        <x:v>52.2</x:v>
      </x:c>
      <x:c r="E32" s="117" t="n">
        <x:v>51.0066666666667</x:v>
      </x:c>
      <x:c r="F32" s="117" t="n">
        <x:v>46.808511</x:v>
      </x:c>
      <x:c r="G32" s="117" t="n">
        <x:v>23.0648132</x:v>
      </x:c>
      <x:c r="H32" s="117" t="n">
        <x:v>4.0264505819463</x:v>
      </x:c>
      <x:c r="I32" s="117" t="n">
        <x:v>4.04241278654669</x:v>
      </x:c>
      <x:c r="J32" s="10" t="str">
        <x:v>Stessa sorgente congelata; durata diversa; JAR non byte-identico.</x:v>
      </x:c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>
      <x:c r="A34" s="406" t="str">
        <x:v>Evidenze residue e limiti di interpretazione</x:v>
      </x:c>
      <x:c r="B34" s="406"/>
      <x:c r="C34" s="406"/>
      <x:c r="D34" s="406"/>
      <x:c r="E34" s="406"/>
      <x:c r="F34" s="406"/>
      <x:c r="G34" s="406"/>
      <x:c r="H34" s="406"/>
      <x:c r="I34" s="406"/>
      <x:c r="J34" s="406"/>
      <x:c r="K34" s="406"/>
      <x:c r="L34" s="406"/>
      <x:c r="M34" s="406"/>
      <x:c r="N34" s="406"/>
      <x:c r="O34" s="406"/>
      <x:c r="P34" s="406"/>
      <x:c r="Q34" s="406"/>
      <x:c r="R34" s="406"/>
      <x:c r="S34" s="406"/>
    </x:row>
    <x:row r="35">
      <x:c r="A35" s="410" t="str">
        <x:v>Voce</x:v>
      </x:c>
      <x:c r="B35" s="410" t="str">
        <x:v>Stato</x:v>
      </x:c>
      <x:c r="C35" s="410" t="str">
        <x:v>Evidenza</x:v>
      </x:c>
      <x:c r="D35" s="410" t="str">
        <x:v>Decisione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</x:row>
    <x:row r="36">
      <x:c r="A36" s="10" t="str">
        <x:v>T-091</x:v>
      </x:c>
      <x:c r="B36" s="10" t="str">
        <x:v>EVIDENZA_PARZIALE</x:v>
      </x:c>
      <x:c r="C36" s="10" t="str">
        <x:v>4 EDGE applicati nelle recovery LOCALCPU, ma 0 nella variante EDGECPU.</x:v>
      </x:c>
      <x:c r="D36" s="10" t="str">
        <x:v>Rivalutare nell’audit residuo; non chiudere come PASS EDGECPU.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>
      <x:c r="A37" s="10" t="str">
        <x:v>T-093</x:v>
      </x:c>
      <x:c r="B37" s="10" t="str">
        <x:v>PASS_RECOVERED</x:v>
      </x:c>
      <x:c r="C37" s="10" t="str">
        <x:v>VEHICLE applicato con V2V_SCALAR_RELATIVE_SPEED.</x:v>
      </x:c>
      <x:c r="D37" s="10" t="str">
        <x:v>Nessun rerun dedicato.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>
      <x:c r="A38" s="10" t="str">
        <x:v>T-094 / repair-fallback</x:v>
      </x:c>
      <x:c r="B38" s="10" t="str">
        <x:v>NON_OSSERVATO / NOT_EXPOSED</x:v>
      </x:c>
      <x:c r="C38" s="10" t="str">
        <x:v>coverage false solo stale; nessun contatore causale repair/fallback.</x:v>
      </x:c>
      <x:c r="D38" s="10" t="str">
        <x:v>Dichiarare i limiti; audit residui post-G06.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6" hidden="0" customWidth="1"/>
    <x:col min="4" max="4" width="42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20" hidden="0" customWidth="1"/>
    <x:col min="12" max="12" width="20" hidden="0" customWidth="1"/>
    <x:col min="13" max="13" width="20" hidden="0" customWidth="1"/>
    <x:col min="14" max="14" width="36" hidden="0" customWidth="1"/>
    <x:col min="15" max="15" width="38" hidden="0" customWidth="1"/>
    <x:col min="16" max="16" width="10" hidden="0" customWidth="1"/>
    <x:col min="17" max="17" width="12" hidden="0" customWidth="1"/>
    <x:col min="18" max="18" width="34" hidden="0" customWidth="1"/>
    <x:col min="19" max="19" width="54" hidden="0" customWidth="1"/>
  </x:cols>
  <x:sheetData>
    <x:row r="1" ht="57.599998474121094" hidden="0" customHeight="1">
      <x:c r="A1" s="419" t="str">
        <x:v>G06 — risultati finali runtime e policy temporali</x:v>
      </x:c>
      <x:c r="B1" s="419"/>
      <x:c r="C1" s="419"/>
      <x:c r="D1" s="419"/>
      <x:c r="E1" s="419"/>
      <x:c r="F1" s="419"/>
      <x:c r="G1" s="419"/>
      <x:c r="H1" s="419"/>
      <x:c r="I1" s="419"/>
      <x:c r="J1" s="419"/>
      <x:c r="K1" s="419"/>
      <x:c r="L1" s="419"/>
      <x:c r="M1" s="419"/>
      <x:c r="N1" s="419"/>
      <x:c r="O1" s="419"/>
      <x:c r="P1" s="419"/>
      <x:c r="Q1" s="419"/>
      <x:c r="R1" s="419"/>
      <x:c r="S1" s="419"/>
    </x:row>
    <x:row r="2" ht="66" hidden="0" customHeight="1">
      <x:c r="A2" s="423" t="str">
        <x:v>PASS_WITH_CONTROLLED_STALE_AND_DOCUMENTED_LIMITS: forced-stale dimostrato; 10 test canonici coperti; run opzionali non necessarie.</x:v>
      </x:c>
      <x:c r="B2" s="423"/>
      <x:c r="C2" s="423"/>
      <x:c r="D2" s="423"/>
      <x:c r="E2" s="423"/>
      <x:c r="F2" s="423"/>
      <x:c r="G2" s="423"/>
      <x:c r="H2" s="423"/>
      <x:c r="I2" s="423"/>
      <x:c r="J2" s="423"/>
      <x:c r="K2" s="423"/>
      <x:c r="L2" s="423"/>
      <x:c r="M2" s="423"/>
      <x:c r="N2" s="423"/>
      <x:c r="O2" s="423"/>
      <x:c r="P2" s="423"/>
      <x:c r="Q2" s="423"/>
      <x:c r="R2" s="423"/>
      <x:c r="S2" s="423"/>
    </x:row>
    <x:row r="3" ht="15" hidden="0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 ht="15" hidden="0" customHeight="1">
      <x:c r="A4" s="431" t="str">
        <x:v>Indicatore</x:v>
      </x:c>
      <x:c r="B4" s="431" t="str">
        <x:v>Valore</x:v>
      </x:c>
      <x:c r="C4" s="431" t="str">
        <x:v>Indicatore</x:v>
      </x:c>
      <x:c r="D4" s="431" t="str">
        <x:v>Valore</x:v>
      </x:c>
      <x:c r="E4" s="431" t="str">
        <x:v>Indicatore</x:v>
      </x:c>
      <x:c r="F4" s="431" t="str">
        <x:v>Valore</x:v>
      </x:c>
      <x:c r="G4" s="431" t="str">
        <x:v>Indicatore</x:v>
      </x:c>
      <x:c r="H4" s="431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 ht="52.79999923706055" hidden="0" customHeight="1">
      <x:c r="A5" s="435" t="str">
        <x:v>Test canonici obbligatori</x:v>
      </x:c>
      <x:c r="B5" s="435" t="str">
        <x:v>10/10</x:v>
      </x:c>
      <x:c r="C5" s="435" t="str">
        <x:v>Run MOSAIC nuove</x:v>
      </x:c>
      <x:c r="D5" s="435" t="n">
        <x:v>1</x:v>
      </x:c>
      <x:c r="E5" s="435" t="str">
        <x:v>File temporali auditati</x:v>
      </x:c>
      <x:c r="F5" s="435" t="n">
        <x:v>72</x:v>
      </x:c>
      <x:c r="G5" s="435" t="str">
        <x:v>Stato</x:v>
      </x:c>
      <x:c r="H5" s="435" t="str">
        <x:v>PASS_WITH_CONTROLLED_STALE_AND_DOCUMENTED_LIMITS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 ht="26.399999618530273" hidden="0" customHeight="1">
      <x:c r="A6" s="435" t="str">
        <x:v>Record cross-run</x:v>
      </x:c>
      <x:c r="B6" s="435" t="n">
        <x:v>36486</x:v>
      </x:c>
      <x:c r="C6" s="435" t="str">
        <x:v>Job stale G-STALE</x:v>
      </x:c>
      <x:c r="D6" s="435" t="str">
        <x:v>33/33</x:v>
      </x:c>
      <x:c r="E6" s="435" t="str">
        <x:v>Snapshot lag massimo</x:v>
      </x:c>
      <x:c r="F6" s="435" t="n">
        <x:v>0</x:v>
      </x:c>
      <x:c r="G6" s="435" t="str">
        <x:v>Violazioni runtime</x:v>
      </x:c>
      <x:c r="H6" s="435" t="n">
        <x:v>0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 ht="15" hidden="0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 ht="28.799999237060547" hidden="0" customHeight="1">
      <x:c r="A8" s="427" t="str">
        <x:v>G-STALE-01 — esecuzione controllata</x:v>
      </x:c>
      <x:c r="B8" s="427"/>
      <x:c r="C8" s="427"/>
      <x:c r="D8" s="427"/>
      <x:c r="E8" s="427"/>
      <x:c r="F8" s="427"/>
      <x:c r="G8" s="427"/>
      <x:c r="H8" s="427"/>
      <x:c r="I8" s="427"/>
      <x:c r="J8" s="427"/>
      <x:c r="K8" s="427"/>
      <x:c r="L8" s="427"/>
      <x:c r="M8" s="427"/>
      <x:c r="N8" s="427"/>
      <x:c r="O8" s="427"/>
      <x:c r="P8" s="427"/>
      <x:c r="Q8" s="427"/>
      <x:c r="R8" s="427"/>
      <x:c r="S8" s="427"/>
    </x:row>
    <x:row r="9" ht="15" hidden="0" customHeight="1">
      <x:c r="A9" s="431" t="str">
        <x:v>Run</x:v>
      </x:c>
      <x:c r="B9" s="431" t="str">
        <x:v>Config</x:v>
      </x:c>
      <x:c r="C9" s="431" t="str">
        <x:v>Durata</x:v>
      </x:c>
      <x:c r="D9" s="431" t="str">
        <x:v>Delay ms</x:v>
      </x:c>
      <x:c r="E9" s="431" t="str">
        <x:v>GA sub</x:v>
      </x:c>
      <x:c r="F9" s="431" t="str">
        <x:v>GA comp</x:v>
      </x:c>
      <x:c r="G9" s="431" t="str">
        <x:v>GA appl</x:v>
      </x:c>
      <x:c r="H9" s="431" t="str">
        <x:v>Stale</x:v>
      </x:c>
      <x:c r="I9" s="431" t="str">
        <x:v>Stale %</x:v>
      </x:c>
      <x:c r="J9" s="431" t="str">
        <x:v>Record temp.</x:v>
      </x:c>
      <x:c r="K9" s="431" t="str">
        <x:v>Trigger</x:v>
      </x:c>
      <x:c r="L9" s="431" t="str">
        <x:v>Reuse</x:v>
      </x:c>
      <x:c r="M9" s="431" t="str">
        <x:v>Window action</x:v>
      </x:c>
      <x:c r="N9" s="431" t="str">
        <x:v>Validator canonico</x:v>
      </x:c>
      <x:c r="O9" s="431" t="str">
        <x:v>Stato tecnico</x:v>
      </x:c>
      <x:c r="P9" s="431" t="str">
        <x:v>Lag</x:v>
      </x:c>
      <x:c r="Q9" s="431" t="str">
        <x:v>Violazioni</x:v>
      </x:c>
      <x:c r="R9" s="431" t="str">
        <x:v>Limite</x:v>
      </x:c>
      <x:c r="S9" s="431" t="str">
        <x:v>Nota</x:v>
      </x:c>
    </x:row>
    <x:row r="10" ht="26.399999618530273" hidden="0" customHeight="1">
      <x:c r="A10" s="435" t="str">
        <x:v>G-STALE-01</x:v>
      </x:c>
      <x:c r="B10" s="435" t="str">
        <x:v>CFG-G-STALE</x:v>
      </x:c>
      <x:c r="C10" s="435" t="str">
        <x:v>180 s</x:v>
      </x:c>
      <x:c r="D10" s="435" t="n">
        <x:v>300</x:v>
      </x:c>
      <x:c r="E10" s="435" t="n">
        <x:v>33</x:v>
      </x:c>
      <x:c r="F10" s="435" t="n">
        <x:v>33</x:v>
      </x:c>
      <x:c r="G10" s="435" t="n">
        <x:v>0</x:v>
      </x:c>
      <x:c r="H10" s="435" t="n">
        <x:v>33</x:v>
      </x:c>
      <x:c r="I10" s="435" t="n">
        <x:v>100</x:v>
      </x:c>
      <x:c r="J10" s="435" t="n">
        <x:v>33</x:v>
      </x:c>
      <x:c r="K10" s="435" t="str">
        <x:v>FIRST_RUN=33</x:v>
      </x:c>
      <x:c r="L10" s="435" t="str">
        <x:v>FIRST_RUN=33</x:v>
      </x:c>
      <x:c r="M10" s="435" t="str">
        <x:v>FIRST_RUN=33</x:v>
      </x:c>
      <x:c r="N10" s="435" t="str">
        <x:v>FAILED atteso: strategyApplications &lt;= 0</x:v>
      </x:c>
      <x:c r="O10" s="435" t="str">
        <x:v>PASS_WITH_EXPECTED_CANONICAL_VALIDATOR_REJECTION</x:v>
      </x:c>
      <x:c r="P10" s="435" t="n">
        <x:v>0</x:v>
      </x:c>
      <x:c r="Q10" s="435" t="n">
        <x:v>0</x:v>
      </x:c>
      <x:c r="R10" s="435" t="str">
        <x:v>Nessuna strategia precedente</x:v>
      </x:c>
      <x:c r="S10" s="435" t="str">
        <x:v>Tutti i risultati sono scartati stale; keep-last e progressione scheduled non osservabili nella run estrema.</x:v>
      </x:c>
    </x:row>
    <x:row r="11" ht="15" hidden="0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</x:row>
    <x:row r="12" ht="28.799999237060547" hidden="0" customHeight="1">
      <x:c r="A12" s="427" t="str">
        <x:v>Copertura temporale cross-run</x:v>
      </x:c>
      <x:c r="B12" s="427"/>
      <x:c r="C12" s="427"/>
      <x:c r="D12" s="427"/>
      <x:c r="E12" s="427"/>
      <x:c r="F12" s="427"/>
      <x:c r="G12" s="427"/>
      <x:c r="H12" s="427"/>
      <x:c r="I12" s="427"/>
      <x:c r="J12" s="427"/>
      <x:c r="K12" s="427"/>
      <x:c r="L12" s="427"/>
      <x:c r="M12" s="427"/>
      <x:c r="N12" s="427"/>
      <x:c r="O12" s="427"/>
      <x:c r="P12" s="427"/>
      <x:c r="Q12" s="427"/>
      <x:c r="R12" s="427"/>
      <x:c r="S12" s="427"/>
    </x:row>
    <x:row r="13" ht="15" hidden="0" customHeight="1">
      <x:c r="A13" s="431" t="str">
        <x:v>Famiglia</x:v>
      </x:c>
      <x:c r="B13" s="431" t="str">
        <x:v>Conteggi</x:v>
      </x:c>
      <x:c r="C13" s="431" t="str">
        <x:v>Interpretazione</x:v>
      </x:c>
      <x:c r="D13" s="431" t="str">
        <x:v>Copertura</x:v>
      </x:c>
      <x:c r="E13" s="431" t="str">
        <x:v>Fonte</x:v>
      </x:c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</x:row>
    <x:row r="14" ht="15" hidden="0" customHeight="1">
      <x:c r="A14" s="435" t="str">
        <x:v>Trigger</x:v>
      </x:c>
      <x:c r="B14" s="435" t="str">
        <x:v>FIRST_RUN 104; SCHEDULED 36.382</x:v>
      </x:c>
      <x:c r="C14" s="435" t="str">
        <x:v>Avvio e scadenza programmata osservati</x:v>
      </x:c>
      <x:c r="D14" s="438" t="str">
        <x:v>PASS</x:v>
      </x:c>
      <x:c r="E14" s="435" t="str">
        <x:v>72 file JSONL</x:v>
      </x:c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</x:row>
    <x:row r="15" ht="26.399999618530273" hidden="0" customHeight="1">
      <x:c r="A15" s="435" t="str">
        <x:v>Dinamicità</x:v>
      </x:c>
      <x:c r="B15" s="435" t="str">
        <x:v>UNKNOWN 104; STABLE 33.736; MODERATE 2.493; HIGH 153</x:v>
      </x:c>
      <x:c r="C15" s="435" t="str">
        <x:v>Quattro livelli osservati</x:v>
      </x:c>
      <x:c r="D15" s="438" t="str">
        <x:v>PASS</x:v>
      </x:c>
      <x:c r="E15" s="435" t="str">
        <x:v>36.486 record</x:v>
      </x:c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</x:row>
    <x:row r="16" ht="15" hidden="0" customHeight="1">
      <x:c r="A16" s="435" t="str">
        <x:v>Riuso</x:v>
      </x:c>
      <x:c r="B16" s="435" t="str">
        <x:v>FIRST_RUN 104; WARM 33.746; PARTIAL 2.471; COLD 165</x:v>
      </x:c>
      <x:c r="C16" s="435" t="str">
        <x:v>Quattro modalità osservate</x:v>
      </x:c>
      <x:c r="D16" s="438" t="str">
        <x:v>PASS</x:v>
      </x:c>
      <x:c r="E16" s="435" t="str">
        <x:v>cross-run</x:v>
      </x:c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 ht="15" hidden="0" customHeight="1">
      <x:c r="A17" s="435" t="str">
        <x:v>Azioni finestra</x:v>
      </x:c>
      <x:c r="B17" s="435" t="str">
        <x:v>FIRST_RUN 104; KEEP 19; CLAMP 36.363</x:v>
      </x:c>
      <x:c r="C17" s="435" t="str">
        <x:v>Azioni valide; nessuna violazione bounds</x:v>
      </x:c>
      <x:c r="D17" s="438" t="str">
        <x:v>PASS</x:v>
      </x:c>
      <x:c r="E17" s="435" t="str">
        <x:v>cross-run</x:v>
      </x:c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 ht="15" hidden="0" customHeight="1">
      <x:c r="A18" s="435" t="str">
        <x:v>Correzioni policy</x:v>
      </x:c>
      <x:c r="B18" s="435" t="str">
        <x:v>22</x:v>
      </x:c>
      <x:c r="C18" s="435" t="str">
        <x:v>Correzioni di riuso osservate con motivazione</x:v>
      </x:c>
      <x:c r="D18" s="438" t="str">
        <x:v>PASS_CORRECTION_OBSERVED</x:v>
      </x:c>
      <x:c r="E18" s="435" t="str">
        <x:v>cross-run</x:v>
      </x:c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</x:row>
    <x:row r="19" ht="15" hidden="0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</x:row>
    <x:row r="20" ht="15" hidden="0" customHeight="1">
      <x:c r="A20" s="427" t="str">
        <x:v>Verdetti T-110–T-121</x:v>
      </x:c>
      <x:c r="B20" s="427"/>
      <x:c r="C20" s="427"/>
      <x:c r="D20" s="427"/>
      <x:c r="E20" s="427"/>
      <x:c r="F20" s="427"/>
      <x:c r="G20" s="427"/>
      <x:c r="H20" s="427"/>
      <x:c r="I20" s="427"/>
      <x:c r="J20" s="427"/>
      <x:c r="K20" s="427"/>
      <x:c r="L20" s="427"/>
      <x:c r="M20" s="427"/>
      <x:c r="N20" s="427"/>
      <x:c r="O20" s="427"/>
      <x:c r="P20" s="427"/>
      <x:c r="Q20" s="427"/>
      <x:c r="R20" s="427"/>
      <x:c r="S20" s="427"/>
    </x:row>
    <x:row r="21" ht="15" hidden="0" customHeight="1">
      <x:c r="A21" s="431" t="str">
        <x:v>Test</x:v>
      </x:c>
      <x:c r="B21" s="431" t="str">
        <x:v>Verdetto</x:v>
      </x:c>
      <x:c r="C21" s="431" t="str">
        <x:v>Evidenza</x:v>
      </x:c>
      <x:c r="D21" s="431" t="str">
        <x:v>Limite</x:v>
      </x:c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</x:row>
    <x:row r="22" ht="15" hidden="0" customHeight="1">
      <x:c r="A22" s="435" t="str">
        <x:v>T-110</x:v>
      </x:c>
      <x:c r="B22" s="440" t="str">
        <x:v>PASS</x:v>
      </x:c>
      <x:c r="C22" s="435" t="str">
        <x:v>36.486 record; componenti finite e in range</x:v>
      </x:c>
      <x:c r="D22" s="435" t="str">
        <x:v>—</x:v>
      </x:c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</x:row>
    <x:row r="23" ht="15" hidden="0" customHeight="1">
      <x:c r="A23" s="435" t="str">
        <x:v>T-111</x:v>
      </x:c>
      <x:c r="B23" s="440" t="str">
        <x:v>PASS</x:v>
      </x:c>
      <x:c r="C23" s="435" t="str">
        <x:v>UNKNOWN/STABLE/MODERATE/HIGH osservati</x:v>
      </x:c>
      <x:c r="D23" s="435" t="str">
        <x:v>—</x:v>
      </x:c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 ht="15" hidden="0" customHeight="1">
      <x:c r="A24" s="435" t="str">
        <x:v>T-112</x:v>
      </x:c>
      <x:c r="B24" s="440" t="str">
        <x:v>PASS</x:v>
      </x:c>
      <x:c r="C24" s="435" t="str">
        <x:v>FIRST/WARM/PARTIAL/COLD osservati</x:v>
      </x:c>
      <x:c r="D24" s="435" t="str">
        <x:v>—</x:v>
      </x:c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 ht="15" hidden="0" customHeight="1">
      <x:c r="A25" s="435" t="str">
        <x:v>T-113</x:v>
      </x:c>
      <x:c r="B25" s="440" t="str">
        <x:v>PASS_CORRECTION_OBSERVED</x:v>
      </x:c>
      <x:c r="C25" s="435" t="str">
        <x:v>22 correzioni con reason</x:v>
      </x:c>
      <x:c r="D25" s="435" t="str">
        <x:v>—</x:v>
      </x:c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</x:row>
    <x:row r="26" ht="26.399999618530273" hidden="0" customHeight="1">
      <x:c r="A26" s="435" t="str">
        <x:v>T-114</x:v>
      </x:c>
      <x:c r="B26" s="440" t="str">
        <x:v>PASS</x:v>
      </x:c>
      <x:c r="C26" s="435" t="str">
        <x:v>FIRST_RUN, KEEP e CLAMP_TO_BOUNDS</x:v>
      </x:c>
      <x:c r="D26" s="435" t="str">
        <x:v>INCREASE/DECREASE non emergono, ma nessuna azione illegale</x:v>
      </x:c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 ht="15" hidden="0" customHeight="1">
      <x:c r="A27" s="435" t="str">
        <x:v>T-115</x:v>
      </x:c>
      <x:c r="B27" s="440" t="str">
        <x:v>PASS</x:v>
      </x:c>
      <x:c r="C27" s="435" t="str">
        <x:v>Bound violations 0; mismatch 0</x:v>
      </x:c>
      <x:c r="D27" s="435" t="str">
        <x:v>—</x:v>
      </x:c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 ht="26.399999618530273" hidden="0" customHeight="1">
      <x:c r="A28" s="435" t="str">
        <x:v>T-116</x:v>
      </x:c>
      <x:c r="B28" s="440" t="str">
        <x:v>PASS_WITH_FORCED_STALE_AND_NO_PRIOR_STRATEGY_LIMIT</x:v>
      </x:c>
      <x:c r="C28" s="435" t="str">
        <x:v>33/33 stale; 0 apply; hard oracles PASS</x:v>
      </x:c>
      <x:c r="D28" s="435" t="str">
        <x:v>Keep-last non osservabile; EXCEEDS_CURRENT_AND_NEXT assente</x:v>
      </x:c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 ht="15" hidden="0" customHeight="1">
      <x:c r="A29" s="435" t="str">
        <x:v>T-117</x:v>
      </x:c>
      <x:c r="B29" s="440" t="str">
        <x:v>PASS</x:v>
      </x:c>
      <x:c r="C29" s="435" t="str">
        <x:v>FIRST_RUN 104; SCHEDULED 36.382</x:v>
      </x:c>
      <x:c r="D29" s="435" t="str">
        <x:v>—</x:v>
      </x:c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 ht="15" hidden="0" customHeight="1">
      <x:c r="A30" s="435" t="str">
        <x:v>T-118</x:v>
      </x:c>
      <x:c r="B30" s="440" t="str">
        <x:v>NOT_APPLICABLE_OR_NOT_EXPOSED</x:v>
      </x:c>
      <x:c r="C30" s="435" t="str">
        <x:v>CRITICAL_EVENT non forzato</x:v>
      </x:c>
      <x:c r="D30" s="435" t="str">
        <x:v>Detector non esposto</x:v>
      </x:c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 ht="15" hidden="0" customHeight="1">
      <x:c r="A31" s="435" t="str">
        <x:v>T-119</x:v>
      </x:c>
      <x:c r="B31" s="440" t="str">
        <x:v>PASS</x:v>
      </x:c>
      <x:c r="C31" s="435" t="str">
        <x:v>Sorgente live MOSAIC confermata</x:v>
      </x:c>
      <x:c r="D31" s="435" t="str">
        <x:v>sourceMode assente nel summary stale</x:v>
      </x:c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 ht="15" hidden="0" customHeight="1">
      <x:c r="A32" s="435" t="str">
        <x:v>T-120</x:v>
      </x:c>
      <x:c r="B32" s="440" t="str">
        <x:v>PASS</x:v>
      </x:c>
      <x:c r="C32" s="435" t="str">
        <x:v>STATIC nella campagna canonica</x:v>
      </x:c>
      <x:c r="D32" s="435" t="str">
        <x:v>—</x:v>
      </x:c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 ht="26.399999618530273" hidden="0" customHeight="1">
      <x:c r="A33" s="435" t="str">
        <x:v>T-121</x:v>
      </x:c>
      <x:c r="B33" s="440" t="str">
        <x:v>DEFERRED_OPTIONAL_NOT_REQUIRED_FOR_CANONICAL_G06</x:v>
      </x:c>
      <x:c r="C33" s="435" t="str">
        <x:v>G-ADAPTIVE non eseguita</x:v>
      </x:c>
      <x:c r="D33" s="435" t="str">
        <x:v>Opzionale non canonico</x:v>
      </x:c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 ht="15" hidden="0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</x:row>
    <x:row r="35" ht="28.799999237060547" hidden="0" customHeight="1">
      <x:c r="A35" s="427" t="str">
        <x:v>Decisione sulle run opzionali</x:v>
      </x:c>
      <x:c r="B35" s="427"/>
      <x:c r="C35" s="427"/>
      <x:c r="D35" s="427"/>
      <x:c r="E35" s="427"/>
      <x:c r="F35" s="427"/>
      <x:c r="G35" s="427"/>
      <x:c r="H35" s="427"/>
      <x:c r="I35" s="427"/>
      <x:c r="J35" s="427"/>
      <x:c r="K35" s="427"/>
      <x:c r="L35" s="427"/>
      <x:c r="M35" s="427"/>
      <x:c r="N35" s="427"/>
      <x:c r="O35" s="427"/>
      <x:c r="P35" s="427"/>
      <x:c r="Q35" s="427"/>
      <x:c r="R35" s="427"/>
      <x:c r="S35" s="427"/>
    </x:row>
    <x:row r="36" ht="15" hidden="0" customHeight="1">
      <x:c r="A36" s="431" t="str">
        <x:v>Run</x:v>
      </x:c>
      <x:c r="B36" s="431" t="str">
        <x:v>Decisione</x:v>
      </x:c>
      <x:c r="C36" s="431" t="str">
        <x:v>Motivazione</x:v>
      </x:c>
      <x:c r="D36" s="431" t="str">
        <x:v>Nuova simulazione</x:v>
      </x:c>
      <x:c r="E36" s="431" t="str">
        <x:v>Prossimo uso</x:v>
      </x:c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 ht="15" hidden="0" customHeight="1">
      <x:c r="A37" s="435" t="str">
        <x:v>G-SPARSE-01</x:v>
      </x:c>
      <x:c r="B37" s="440" t="str">
        <x:v>SKIP_NOT_REQUIRED_FOR_MANDATORY_G06</x:v>
      </x:c>
      <x:c r="C37" s="435" t="str">
        <x:v>Corpus cross-run sufficiente per tutti i test obbligatori</x:v>
      </x:c>
      <x:c r="D37" s="435" t="str">
        <x:v>No</x:v>
      </x:c>
      <x:c r="E37" s="435" t="str">
        <x:v>Nessuno</x:v>
      </x:c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 ht="26.399999618530273" hidden="0" customHeight="1">
      <x:c r="A38" s="435" t="str">
        <x:v>G-ADAPTIVE-01</x:v>
      </x:c>
      <x:c r="B38" s="440" t="str">
        <x:v>SKIP_OPTIONAL_NON_CANONICAL_T121</x:v>
      </x:c>
      <x:c r="C38" s="435" t="str">
        <x:v>T-121 opzionale; non mescolare ADAPTIVE con baseline STATIC</x:v>
      </x:c>
      <x:c r="D38" s="435" t="str">
        <x:v>No</x:v>
      </x:c>
      <x:c r="E38" s="435" t="str">
        <x:v>Solo futura estensione</x:v>
      </x:c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mergeCells>
    <x:mergeCell ref="A1:S1"/>
    <x:mergeCell ref="A2:S2"/>
    <x:mergeCell ref="A8:S8"/>
    <x:mergeCell ref="A12:S12"/>
    <x:mergeCell ref="A20:S20"/>
    <x:mergeCell ref="A35:S35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4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4" hidden="0" customWidth="1"/>
    <x:col min="16" max="16" width="12" hidden="0" customWidth="1"/>
    <x:col min="17" max="17" width="12" hidden="0" customWidth="1"/>
    <x:col min="18" max="18" width="10" hidden="0" customWidth="1"/>
    <x:col min="19" max="19" width="12" hidden="0" customWidth="1"/>
  </x:cols>
  <x:sheetData>
    <x:row r="1" ht="28" customHeight="1">
      <x:c r="A1" s="455" t="str">
        <x:v>G04-R — recupero controllato mobilità e gateway</x:v>
      </x:c>
      <x:c r="B1" s="455"/>
      <x:c r="C1" s="455"/>
      <x:c r="D1" s="455"/>
      <x:c r="E1" s="455"/>
      <x:c r="F1" s="455"/>
      <x:c r="G1" s="455"/>
      <x:c r="H1" s="455"/>
      <x:c r="I1" s="455"/>
      <x:c r="J1" s="455"/>
      <x:c r="K1" s="455"/>
      <x:c r="L1" s="455"/>
      <x:c r="M1" s="455"/>
      <x:c r="N1" s="455"/>
      <x:c r="O1" s="455"/>
      <x:c r="P1" s="455"/>
      <x:c r="Q1" s="455"/>
      <x:c r="R1" s="455"/>
      <x:c r="S1" s="455"/>
    </x:row>
    <x:row r="2" ht="34" customHeight="1">
      <x:c r="A2" s="459" t="str">
        <x:v>PASS: transizione rsu_0→rsu_1 e decisioni remote correlate; nessuna modifica Java.</x:v>
      </x:c>
      <x:c r="B2" s="459"/>
      <x:c r="C2" s="459"/>
      <x:c r="D2" s="459"/>
      <x:c r="E2" s="459"/>
      <x:c r="F2" s="459"/>
      <x:c r="G2" s="459"/>
      <x:c r="H2" s="459"/>
      <x:c r="I2" s="459"/>
      <x:c r="J2" s="459"/>
      <x:c r="K2" s="459"/>
      <x:c r="L2" s="459"/>
      <x:c r="M2" s="459"/>
      <x:c r="N2" s="459"/>
      <x:c r="O2" s="459"/>
      <x:c r="P2" s="459"/>
      <x:c r="Q2" s="459"/>
      <x:c r="R2" s="459"/>
      <x:c r="S2" s="459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24" customHeight="1">
      <x:c r="A4" s="467" t="str">
        <x:v>Indicatore</x:v>
      </x:c>
      <x:c r="B4" s="467" t="str">
        <x:v>Valore</x:v>
      </x:c>
      <x:c r="C4" s="467" t="str">
        <x:v>Indicatore</x:v>
      </x:c>
      <x:c r="D4" s="467" t="str">
        <x:v>Valore</x:v>
      </x:c>
      <x:c r="E4" s="467" t="str">
        <x:v>Indicatore</x:v>
      </x:c>
      <x:c r="F4" s="467" t="str">
        <x:v>Valore</x:v>
      </x:c>
      <x:c r="G4" s="467" t="str">
        <x:v>Indicatore</x:v>
      </x:c>
      <x:c r="H4" s="467" t="str">
        <x:v>Valore</x:v>
      </x:c>
      <x:c r="I4"/>
      <x:c r="J4"/>
      <x:c r="K4"/>
      <x:c r="L4"/>
      <x:c r="M4"/>
      <x:c r="N4"/>
      <x:c r="O4"/>
      <x:c r="P4"/>
      <x:c r="Q4"/>
      <x:c r="R4"/>
      <x:c r="S4"/>
    </x:row>
    <x:row r="5">
      <x:c r="A5" s="11" t="str">
        <x:v>Stato</x:v>
      </x:c>
      <x:c r="B5" s="472" t="str">
        <x:v>PASS</x:v>
      </x:c>
      <x:c r="C5" s="11" t="str">
        <x:v>Run mirata valida</x:v>
      </x:c>
      <x:c r="D5" s="11" t="str">
        <x:v>1/1</x:v>
      </x:c>
      <x:c r="E5" s="11" t="str">
        <x:v>Tentativi MOSAIC totali</x:v>
      </x:c>
      <x:c r="F5" s="11" t="n">
        <x:v>2</x:v>
      </x:c>
      <x:c r="G5" s="11" t="str">
        <x:v>Java changes</x:v>
      </x:c>
      <x:c r="H5" s="11" t="n">
        <x:v>0</x:v>
      </x:c>
      <x:c r="I5"/>
      <x:c r="J5"/>
      <x:c r="K5"/>
      <x:c r="L5"/>
      <x:c r="M5"/>
      <x:c r="N5"/>
      <x:c r="O5"/>
      <x:c r="P5"/>
      <x:c r="Q5"/>
      <x:c r="R5"/>
      <x:c r="S5"/>
    </x:row>
    <x:row r="6">
      <x:c r="A6" s="11" t="str">
        <x:v>Transizione osservata</x:v>
      </x:c>
      <x:c r="B6" s="11" t="str">
        <x:v>81,8 s</x:v>
      </x:c>
      <x:c r="C6" s="11" t="str">
        <x:v>Geni remoti applicati</x:v>
      </x:c>
      <x:c r="D6" s="11" t="n">
        <x:v>123</x:v>
      </x:c>
      <x:c r="E6" s="11" t="str">
        <x:v>Task statici attivati</x:v>
      </x:c>
      <x:c r="F6" s="11" t="n">
        <x:v>19</x:v>
      </x:c>
      <x:c r="G6" s="11" t="str">
        <x:v>Validator</x:v>
      </x:c>
      <x:c r="H6" s="11" t="str">
        <x:v>FAILED atteso</x:v>
      </x:c>
      <x:c r="I6"/>
      <x:c r="J6"/>
      <x:c r="K6"/>
      <x:c r="L6"/>
      <x:c r="M6"/>
      <x:c r="N6"/>
      <x:c r="O6"/>
      <x:c r="P6"/>
      <x:c r="Q6"/>
      <x:c r="R6"/>
      <x:c r="S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</x:row>
    <x:row r="8" ht="24" customHeight="1">
      <x:c r="A8" s="461" t="str">
        <x:v>Run G04-R-01-RECOVERY-01</x:v>
      </x:c>
      <x:c r="B8" s="461"/>
      <x:c r="C8" s="461"/>
      <x:c r="D8" s="461"/>
      <x:c r="E8" s="461"/>
      <x:c r="F8" s="461"/>
      <x:c r="G8" s="461"/>
      <x:c r="H8" s="461"/>
      <x:c r="I8" s="461"/>
      <x:c r="J8" s="461"/>
      <x:c r="K8" s="461"/>
      <x:c r="L8" s="461"/>
      <x:c r="M8" s="461"/>
      <x:c r="N8" s="461"/>
      <x:c r="O8" s="461"/>
      <x:c r="P8" s="461"/>
      <x:c r="Q8" s="461"/>
      <x:c r="R8" s="461"/>
      <x:c r="S8" s="461"/>
    </x:row>
    <x:row r="9" ht="38" customHeight="1">
      <x:c r="A9" s="467" t="str">
        <x:v>Run</x:v>
      </x:c>
      <x:c r="B9" s="467" t="str">
        <x:v>Densità</x:v>
      </x:c>
      <x:c r="C9" s="467" t="str">
        <x:v>Durata</x:v>
      </x:c>
      <x:c r="D9" s="467" t="str">
        <x:v>Seed</x:v>
      </x:c>
      <x:c r="E9" s="467" t="str">
        <x:v>Probe route/runtime</x:v>
      </x:c>
      <x:c r="F9" s="467" t="str">
        <x:v>Route</x:v>
      </x:c>
      <x:c r="G9" s="467" t="str">
        <x:v>CPU local ×</x:v>
      </x:c>
      <x:c r="H9" s="467" t="str">
        <x:v>GA mode</x:v>
      </x:c>
      <x:c r="I9" s="467" t="str">
        <x:v>Task</x:v>
      </x:c>
      <x:c r="J9" s="467" t="str">
        <x:v>GA sub</x:v>
      </x:c>
      <x:c r="K9" s="467" t="str">
        <x:v>GA comp</x:v>
      </x:c>
      <x:c r="L9" s="467" t="str">
        <x:v>GA appl</x:v>
      </x:c>
      <x:c r="M9" s="467" t="str">
        <x:v>Stale</x:v>
      </x:c>
      <x:c r="N9" s="467" t="str">
        <x:v>Stale %</x:v>
      </x:c>
      <x:c r="O9" s="467" t="str">
        <x:v>Runtime mean</x:v>
      </x:c>
      <x:c r="P9" s="467" t="str">
        <x:v>P95</x:v>
      </x:c>
      <x:c r="Q9" s="467" t="str">
        <x:v>Max</x:v>
      </x:c>
      <x:c r="R9" s="467" t="str">
        <x:v>Lag</x:v>
      </x:c>
      <x:c r="S9" s="467" t="str">
        <x:v>Violazioni</x:v>
      </x:c>
    </x:row>
    <x:row r="10">
      <x:c r="A10" s="11" t="str">
        <x:v>log-20260624-233717-MaGaLiteratureBasedUrbanStudy</x:v>
      </x:c>
      <x:c r="B10" s="11" t="str">
        <x:v>low_density</x:v>
      </x:c>
      <x:c r="C10" s="11" t="str">
        <x:v>180 s</x:v>
      </x:c>
      <x:c r="D10" s="11" t="n">
        <x:v>104729</x:v>
      </x:c>
      <x:c r="E10" s="11" t="str">
        <x:v>synthetic_005 / veh_2</x:v>
      </x:c>
      <x:c r="F10" s="11" t="str">
        <x:v>route_dual_rsu_switch_04</x:v>
      </x:c>
      <x:c r="G10" s="11" t="n">
        <x:v>0.5</x:v>
      </x:c>
      <x:c r="H10" s="11" t="str">
        <x:v>STATIC</x:v>
      </x:c>
      <x:c r="I10" s="11" t="n">
        <x:v>19</x:v>
      </x:c>
      <x:c r="J10" s="11" t="n">
        <x:v>760</x:v>
      </x:c>
      <x:c r="K10" s="11" t="n">
        <x:v>760</x:v>
      </x:c>
      <x:c r="L10" s="11" t="n">
        <x:v>754</x:v>
      </x:c>
      <x:c r="M10" s="11" t="n">
        <x:v>6</x:v>
      </x:c>
      <x:c r="N10" s="122" t="n">
        <x:v>0.789474</x:v>
      </x:c>
      <x:c r="O10" s="122" t="n">
        <x:v>0.009341434</x:v>
      </x:c>
      <x:c r="P10" s="122" t="n">
        <x:v>0.053069</x:v>
      </x:c>
      <x:c r="Q10" s="122" t="n">
        <x:v>0.4681912</x:v>
      </x:c>
      <x:c r="R10" s="473" t="n">
        <x:v>0</x:v>
      </x:c>
      <x:c r="S10" s="473" t="n">
        <x:v>0</x:v>
      </x:c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 ht="24" customHeight="1">
      <x:c r="A12" s="461" t="str">
        <x:v>Evidenza causale del probe</x:v>
      </x:c>
      <x:c r="B12" s="461"/>
      <x:c r="C12" s="461"/>
      <x:c r="D12" s="461"/>
      <x:c r="E12" s="461"/>
      <x:c r="F12" s="461"/>
      <x:c r="G12" s="461"/>
      <x:c r="H12" s="461"/>
      <x:c r="I12" s="461"/>
      <x:c r="J12" s="461"/>
      <x:c r="K12" s="461"/>
      <x:c r="L12" s="461"/>
      <x:c r="M12" s="461"/>
      <x:c r="N12" s="461"/>
      <x:c r="O12" s="461"/>
      <x:c r="P12" s="461"/>
      <x:c r="Q12" s="461"/>
      <x:c r="R12" s="461"/>
      <x:c r="S12" s="461"/>
    </x:row>
    <x:row r="13">
      <x:c r="A13" s="467" t="str">
        <x:v>Metrica</x:v>
      </x:c>
      <x:c r="B13" s="467" t="str">
        <x:v>Valore</x:v>
      </x:c>
      <x:c r="C13" s="467" t="str">
        <x:v>Interpretazione</x:v>
      </x:c>
      <x:c r="D13" s="467" t="str">
        <x:v>Fonte</x:v>
      </x:c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>
      <x:c r="A14" s="11" t="str">
        <x:v>Snapshot con probe</x:v>
      </x:c>
      <x:c r="B14" s="11" t="n">
        <x:v>1548</x:v>
      </x:c>
      <x:c r="C14" s="11" t="str">
        <x:v>Presenza runtime del veicolo lungo la traiettoria</x:v>
      </x:c>
      <x:c r="D14" s="11" t="str">
        <x:v>probe timeline</x:v>
      </x:c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</x:row>
    <x:row r="15">
      <x:c r="A15" s="11" t="str">
        <x:v>Snapshot con task probe</x:v>
      </x:c>
      <x:c r="B15" s="11" t="n">
        <x:v>400</x:v>
      </x:c>
      <x:c r="C15" s="11" t="str">
        <x:v>Task statici presenti negli snapshot</x:v>
      </x:c>
      <x:c r="D15" s="11" t="str">
        <x:v>probe timeline</x:v>
      </x:c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</x:row>
    <x:row r="16">
      <x:c r="A16" s="11" t="str">
        <x:v>Transizione gateway</x:v>
      </x:c>
      <x:c r="B16" s="11" t="str">
        <x:v>81,7 → 81,8 s</x:v>
      </x:c>
      <x:c r="C16" s="11" t="str">
        <x:v>rsu_0 → rsu_1 osservato</x:v>
      </x:c>
      <x:c r="D16" s="11" t="str">
        <x:v>probe timeline</x:v>
      </x:c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>
      <x:c r="A17" s="11" t="str">
        <x:v>Decisioni remote</x:v>
      </x:c>
      <x:c r="B17" s="11" t="n">
        <x:v>123</x:v>
      </x:c>
      <x:c r="C17" s="11" t="str">
        <x:v>Tutte CLOUD applicate al probe</x:v>
      </x:c>
      <x:c r="D17" s="11" t="str">
        <x:v>probe genes</x:v>
      </x:c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>
      <x:c r="A18" s="11" t="str">
        <x:v>Distribuzione attorno allo switch</x:v>
      </x:c>
      <x:c r="B18" s="11" t="str">
        <x:v>38 prima / 51 vicino / 13 dopo</x:v>
      </x:c>
      <x:c r="C18" s="11" t="str">
        <x:v>Correlazione temporale sufficiente per T-098</x:v>
      </x:c>
      <x:c r="D18" s="11" t="str">
        <x:v>result JSON</x:v>
      </x:c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</x:row>
    <x:row r="20" ht="24" customHeight="1">
      <x:c r="A20" s="461" t="str">
        <x:v>Verdetti finali</x:v>
      </x:c>
      <x:c r="B20" s="461"/>
      <x:c r="C20" s="461"/>
      <x:c r="D20" s="461"/>
      <x:c r="E20" s="461"/>
      <x:c r="F20" s="461"/>
      <x:c r="G20" s="461"/>
      <x:c r="H20" s="461"/>
      <x:c r="I20" s="461"/>
      <x:c r="J20" s="461"/>
      <x:c r="K20" s="461"/>
      <x:c r="L20" s="461"/>
      <x:c r="M20" s="461"/>
      <x:c r="N20" s="461"/>
      <x:c r="O20" s="461"/>
      <x:c r="P20" s="461"/>
      <x:c r="Q20" s="461"/>
      <x:c r="R20" s="461"/>
      <x:c r="S20" s="461"/>
    </x:row>
    <x:row r="21">
      <x:c r="A21" s="467" t="str">
        <x:v>Test</x:v>
      </x:c>
      <x:c r="B21" s="467" t="str">
        <x:v>Stato</x:v>
      </x:c>
      <x:c r="C21" s="467" t="str">
        <x:v>Evidenza</x:v>
      </x:c>
      <x:c r="D21" s="467" t="str">
        <x:v>Interpretazione</x:v>
      </x:c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>
      <x:c r="A22" s="11" t="str">
        <x:v>T-091</x:v>
      </x:c>
      <x:c r="B22" s="468" t="str">
        <x:v>EVIDENZA_PARZIALE</x:v>
      </x:c>
      <x:c r="C22" s="11" t="str">
        <x:v>0 EDGE applicati in G04-R</x:v>
      </x:c>
      <x:c r="D22" s="11" t="str">
        <x:v>Offloading remoto osservato solo via CLOUD.</x:v>
      </x:c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s="11" t="str">
        <x:v>T-093</x:v>
      </x:c>
      <x:c r="B23" s="469" t="str">
        <x:v>NOT_REPEATED_ALREADY_PASS_RECOVERED</x:v>
      </x:c>
      <x:c r="C23" s="11" t="str">
        <x:v>Escluso</x:v>
      </x:c>
      <x:c r="D23" s="11" t="str">
        <x:v>Già recuperato in G05.</x:v>
      </x:c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4">
      <x:c r="A24" s="11" t="str">
        <x:v>T-094</x:v>
      </x:c>
      <x:c r="B24" s="470" t="str">
        <x:v>NON_OSSERVATO</x:v>
      </x:c>
      <x:c r="C24" s="11" t="str">
        <x:v>0 coverageSufficient=false applicati</x:v>
      </x:c>
      <x:c r="D24" s="11" t="str">
        <x:v>Caso non forzato.</x:v>
      </x:c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</x:row>
    <x:row r="25">
      <x:c r="A25" s="11" t="str">
        <x:v>T-096</x:v>
      </x:c>
      <x:c r="B25" s="471" t="str">
        <x:v>PASS</x:v>
      </x:c>
      <x:c r="C25" s="11" t="str">
        <x:v>Switch rsu_0→rsu_1 a 81,8 s</x:v>
      </x:c>
      <x:c r="D25" s="11" t="str">
        <x:v>Obiettivo primario soddisfatto.</x:v>
      </x:c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 s="11" t="str">
        <x:v>T-098</x:v>
      </x:c>
      <x:c r="B26" s="471" t="str">
        <x:v>PASS</x:v>
      </x:c>
      <x:c r="C26" s="11" t="str">
        <x:v>Task e geni remoti prima/vicino/dopo lo switch</x:v>
      </x:c>
      <x:c r="D26" s="11" t="str">
        <x:v>Obiettivo primario soddisfatto.</x:v>
      </x:c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</x:row>
    <x:row r="28" ht="24" customHeight="1">
      <x:c r="A28" s="461" t="str">
        <x:v>Interpretazione tecnica e limiti</x:v>
      </x:c>
      <x:c r="B28" s="461"/>
      <x:c r="C28" s="461"/>
      <x:c r="D28" s="461"/>
      <x:c r="E28" s="461"/>
      <x:c r="F28" s="461"/>
      <x:c r="G28" s="461"/>
      <x:c r="H28" s="461"/>
      <x:c r="I28" s="461"/>
      <x:c r="J28" s="461"/>
      <x:c r="K28" s="461"/>
      <x:c r="L28" s="461"/>
      <x:c r="M28" s="461"/>
      <x:c r="N28" s="461"/>
      <x:c r="O28" s="461"/>
      <x:c r="P28" s="461"/>
      <x:c r="Q28" s="461"/>
      <x:c r="R28" s="461"/>
      <x:c r="S28" s="461"/>
    </x:row>
    <x:row r="29">
      <x:c r="A29" s="467" t="str">
        <x:v>Tema</x:v>
      </x:c>
      <x:c r="B29" s="467" t="str">
        <x:v>Conclusione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</x:row>
    <x:row r="30">
      <x:c r="A30" s="11" t="str">
        <x:v>Validator</x:v>
      </x:c>
      <x:c r="B30" s="11" t="str">
        <x:v>Unico errore tasksGeneratedCumulative &lt;= 0: atteso perché il workload usa task statici attivati, non task Poisson generati.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</x:row>
    <x:row r="31">
      <x:c r="A31" s="11" t="str">
        <x:v>Runtime</x:v>
      </x:c>
      <x:c r="B31" s="11" t="str">
        <x:v>760/760 job completati; 754 applicati; stale 0,789474%; ultima strategia a 180 s.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</x:row>
    <x:row r="32">
      <x:c r="A32" s="11" t="str">
        <x:v>Causalità</x:v>
      </x:c>
      <x:c r="B32" s="11" t="str">
        <x:v>Snapshot lag 0 e violazioni runtime 0; mapping synthetic_005→veh_2 verificato.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</x:row>
    <x:row r="33">
      <x:c r="A33" s="11" t="str">
        <x:v>Primo tentativo</x:v>
      </x:c>
      <x:c r="B33" s="11" t="str">
        <x:v>Escluso come invalid harness run per mismatch dell’identificativo runtime; non usato nei verdetti.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</x:row>
    <x:row r="34">
      <x:c r="A34" s="11" t="str">
        <x:v>EDGE</x:v>
      </x:c>
      <x:c r="B34" s="11" t="str">
        <x:v>T-091 resta parziale: nessun gene EDGE nella run mirata.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>
      <x:c r="A35" s="11" t="str">
        <x:v>Coverage</x:v>
      </x:c>
      <x:c r="B35" s="11" t="str">
        <x:v>T-094 resta non osservato: nessun gene applicato con copertura insufficiente.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</x:row>
    <x:row r="36">
      <x:c r="A36" s="11" t="str">
        <x:v>Generalizzazione</x:v>
      </x:c>
      <x:c r="B36" s="11" t="str">
        <x:v>La prova vale per la route controllata e non dimostra ogni possibile handover.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</x:row>
    <x:row r="37">
      <x:c r="A37" s="11" t="str">
        <x:v>Prossimo passo</x:v>
      </x:c>
      <x:c r="B37" s="11" t="str">
        <x:v>Chiusura formale, prima G07, prima bozza capitolo e handoff ridotto prima di G02B.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</x:row>
    <x:row r="38">
      <x:c r="A38" s="11" t="str">
        <x:v>Core</x:v>
      </x:c>
      <x:c r="B38" s="11" t="str">
        <x:v>Nessuna modifica Java; JAR validato invariato.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</x:row>
  </x:sheetData>
  <x:mergeCells>
    <x:mergeCell ref="A1:S1"/>
    <x:mergeCell ref="A2:S2"/>
    <x:mergeCell ref="A8:S8"/>
    <x:mergeCell ref="A12:S12"/>
    <x:mergeCell ref="A20:S20"/>
    <x:mergeCell ref="A28:S28"/>
  </x:mergeCells>
  <x:pageMargins left="0.7" right="0.7" top="0.75" bottom="0.75" header="0.3" footer="0.3"/>
</x:worksheet>
</file>