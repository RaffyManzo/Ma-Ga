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e3dd04184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e458758cf22d4005"/>
    <x:sheet xmlns:r="http://schemas.openxmlformats.org/officeDocument/2006/relationships" name="01_Run_G02" sheetId="2" r:id="R762f842a4f8e480f"/>
    <x:sheet xmlns:r="http://schemas.openxmlformats.org/officeDocument/2006/relationships" name="02_Riepilogo_config" sheetId="3" r:id="Rd323340639f94bf4"/>
    <x:sheet xmlns:r="http://schemas.openxmlformats.org/officeDocument/2006/relationships" name="03_Storico" sheetId="4" r:id="R8621ddca6e4f4f9b"/>
    <x:sheet xmlns:r="http://schemas.openxmlformats.org/officeDocument/2006/relationships" name="04_Legenda" sheetId="5" r:id="Rcad915c946d540f1"/>
    <x:sheet xmlns:r="http://schemas.openxmlformats.org/officeDocument/2006/relationships" name="05_Risultati_G03" sheetId="6" r:id="R5c30e0a7b8374ab0"/>
    <x:sheet xmlns:r="http://schemas.openxmlformats.org/officeDocument/2006/relationships" name="06_Risultati_G04" sheetId="7" r:id="Ree7df3e715084aa7"/>
    <x:sheet xmlns:r="http://schemas.openxmlformats.org/officeDocument/2006/relationships" name="07_Risultati_G05" sheetId="8" r:id="Rb711953976e047ed"/>
    <x:sheet xmlns:r="http://schemas.openxmlformats.org/officeDocument/2006/relationships" name="08_Risultati_G06" sheetId="9" r:id="R58d82f5cbed3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000"/>
    <x:numFmt numFmtId="202" formatCode="0.000000000"/>
    <x:numFmt numFmtId="203" formatCode="0.0"/>
  </x:numFmts>
  <x:fonts count="17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name val="Carlito"/>
    </x:font>
    <x:font>
      <x:b/>
      <x:sz val="11"/>
      <x:color rgb="FF006100"/>
      <x:name val="Carlito"/>
    </x:font>
    <x:font>
      <x:b/>
      <x:sz val="11"/>
      <x:color rgb="FF1F1F1F"/>
      <x:name val="Carlito"/>
    </x:font>
    <x:font>
      <x:b/>
      <x:sz val="13"/>
      <x:color rgb="FFFFFFFF"/>
      <x:name val="Carlito"/>
    </x:font>
    <x:font>
      <x:b/>
      <x:sz val="11"/>
      <x:color rgb="FF274E13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1F4E78"/>
      <x:name val="Carlito"/>
    </x:font>
    <x:font>
      <x:i/>
      <x:sz val="11"/>
      <x:color rgb="FF1F1F1F"/>
      <x:name val="Carlito"/>
    </x:font>
    <x:font>
      <x:b/>
      <x:sz val="12"/>
      <x:color rgb="FF1F1F1F"/>
      <x:name val="Carlito"/>
    </x:font>
    <x:font>
      <x:sz val="11"/>
      <x:color rgb="FF1F1F1F"/>
      <x:name val="Carlito"/>
    </x:font>
    <x:font>
      <x:b/>
      <x:sz val="11"/>
      <x:color rgb="FF385723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1"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horizontal="center" vertical="top"/>
    </x:xf>
    <x:xf numFmtId="0" fontId="3" fillId="6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center" wrapText="1"/>
    </x:xf>
    <x:xf numFmtId="201" fontId="7" fillId="7" borderId="0" xfId="0" applyNumberFormat="1" applyFont="1" applyFill="1" applyBorder="1" applyAlignment="1">
      <x:alignment vertical="center" wrapText="1"/>
    </x:xf>
    <x:xf numFmtId="202" fontId="7" fillId="7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7" fillId="7" borderId="2" xfId="0" applyNumberFormat="1" applyFont="1" applyFill="1" applyBorder="1" applyAlignment="1">
      <x:alignment vertical="center" wrapText="1"/>
    </x:xf>
    <x:xf numFmtId="201" fontId="7" fillId="7" borderId="2" xfId="0" applyNumberFormat="1" applyFont="1" applyFill="1" applyBorder="1" applyAlignment="1">
      <x:alignment vertical="center" wrapText="1"/>
    </x:xf>
    <x:xf numFmtId="202" fontId="7" fillId="7" borderId="2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2" fontId="7" fillId="4" borderId="0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201" fontId="7" fillId="4" borderId="2" xfId="0" applyNumberFormat="1" applyFont="1" applyFill="1" applyBorder="1" applyAlignment="1">
      <x:alignment vertical="center" wrapText="1"/>
    </x:xf>
    <x:xf numFmtId="202" fontId="7" fillId="4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 wrapText="1"/>
    </x:xf>
    <x:xf numFmtId="201" fontId="9" fillId="10" borderId="0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203" fontId="7" fillId="4" borderId="2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203" fontId="9" fillId="1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203" fontId="7" fillId="4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top"/>
    </x:xf>
    <x:xf numFmtId="0" fontId="9" fillId="14" borderId="0" xfId="0" applyNumberFormat="1" applyFont="1" applyFill="1" applyBorder="1" applyAlignment="1">
      <x:alignment vertical="top"/>
    </x:xf>
    <x:xf numFmtId="0" fontId="0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/>
    </x:xf>
    <x:xf numFmtId="0" fontId="10" fillId="11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11" borderId="0" xfId="0" applyNumberFormat="1" applyFont="1" applyFill="1" applyBorder="1" applyAlignment="1">
      <x:alignment vertical="top"/>
    </x:xf>
    <x:xf numFmtId="0" fontId="0" fillId="11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19" borderId="3" xfId="0" applyNumberFormat="1" applyFont="1" applyFill="1" applyBorder="1" applyAlignment="1">
      <x:alignment vertical="top" wrapText="1"/>
    </x:xf>
    <x:xf numFmtId="0" fontId="0" fillId="19" borderId="4" xfId="0" applyNumberFormat="1" applyFont="1" applyFill="1" applyBorder="1" applyAlignment="1">
      <x:alignment vertical="top" wrapText="1"/>
    </x:xf>
    <x:xf numFmtId="0" fontId="0" fillId="19" borderId="5" xfId="0" applyNumberFormat="1" applyFont="1" applyFill="1" applyBorder="1" applyAlignment="1">
      <x:alignment vertical="top" wrapText="1"/>
    </x:xf>
    <x:xf numFmtId="0" fontId="3" fillId="19" borderId="3" xfId="0" applyNumberFormat="1" applyFont="1" applyFill="1" applyBorder="1" applyAlignment="1">
      <x:alignment vertical="top" wrapText="1"/>
    </x:xf>
    <x:xf numFmtId="0" fontId="3" fillId="19" borderId="4" xfId="0" applyNumberFormat="1" applyFont="1" applyFill="1" applyBorder="1" applyAlignment="1">
      <x:alignment vertical="top" wrapText="1"/>
    </x:xf>
    <x:xf numFmtId="0" fontId="3" fillId="19" borderId="5" xfId="0" applyNumberFormat="1" applyFont="1" applyFill="1" applyBorder="1" applyAlignment="1">
      <x:alignment vertical="top" wrapText="1"/>
    </x:xf>
    <x:xf numFmtId="0" fontId="3" fillId="19" borderId="3" xfId="0" applyNumberFormat="1" applyFont="1" applyFill="1" applyBorder="1" applyAlignment="1">
      <x:alignment horizontal="center" vertical="top" wrapText="1"/>
    </x:xf>
    <x:xf numFmtId="0" fontId="3" fillId="19" borderId="4" xfId="0" applyNumberFormat="1" applyFont="1" applyFill="1" applyBorder="1" applyAlignment="1">
      <x:alignment horizontal="center" vertical="top" wrapText="1"/>
    </x:xf>
    <x:xf numFmtId="0" fontId="3" fillId="19" borderId="5" xfId="0" applyNumberFormat="1" applyFont="1" applyFill="1" applyBorder="1" applyAlignment="1">
      <x:alignment horizontal="center" vertical="top" wrapText="1"/>
    </x:xf>
    <x:xf numFmtId="0" fontId="3" fillId="19" borderId="3" xfId="0" applyNumberFormat="1" applyFont="1" applyFill="1" applyBorder="1" applyAlignment="1">
      <x:alignment horizontal="center" vertical="center" wrapText="1"/>
    </x:xf>
    <x:xf numFmtId="0" fontId="3" fillId="19" borderId="4" xfId="0" applyNumberFormat="1" applyFont="1" applyFill="1" applyBorder="1" applyAlignment="1">
      <x:alignment horizontal="center" vertical="center" wrapText="1"/>
    </x:xf>
    <x:xf numFmtId="0" fontId="3" fillId="19" borderId="5" xfId="0" applyNumberFormat="1" applyFont="1" applyFill="1" applyBorder="1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7" fillId="20" xfId="0" applyNumberFormat="1" applyFont="1" applyFill="1" applyBorder="0" applyAlignment="1">
      <x:alignment vertical="top" wrapText="1"/>
    </x:xf>
    <x:xf numFmtId="0" fontId="0" fillId="21" borderId="9" xfId="0" applyNumberFormat="1" applyFont="1" applyFill="1" applyBorder="1" applyAlignment="1">
      <x:alignment vertical="top" wrapText="1"/>
    </x:xf>
    <x:xf numFmtId="0" fontId="7" fillId="21" borderId="9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/>
    </x:xf>
    <x:xf numFmtId="0" fontId="7" fillId="21" borderId="0" xfId="0" applyNumberFormat="1" applyFont="1" applyFill="1" applyBorder="1" applyAlignment="1">
      <x:alignment vertical="top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left" wrapText="1"/>
    </x:xf>
    <x:xf numFmtId="0" fontId="3" fillId="19" borderId="0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/>
    <x:xf numFmtId="0" fontId="12" fillId="22" borderId="0" xfId="0" applyNumberFormat="1" applyFont="1" applyFill="1" applyBorder="1"/>
    <x:xf numFmtId="0" fontId="12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vertical="center"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0" fillId="20" borderId="4" xfId="0" applyNumberFormat="1" applyFont="1" applyFill="1" applyBorder="1" applyAlignment="1">
      <x:alignment vertical="top" wrapText="1"/>
    </x:xf>
    <x:xf numFmtId="0" fontId="7" fillId="20" borderId="4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7" fillId="21" xfId="0" applyNumberFormat="1" applyFont="1" applyFill="1" applyBorder="0" applyAlignment="1">
      <x:alignment vertical="top" wrapText="1"/>
    </x:xf>
    <x:xf numFmtId="0" fontId="0" fillId="21" borderId="5" xfId="0" applyNumberFormat="1" applyFont="1" applyFill="1" applyBorder="1" applyAlignment="1">
      <x:alignment vertical="top" wrapText="1"/>
    </x:xf>
    <x:xf numFmtId="0" fontId="7" fillId="21" borderId="5" xfId="0" applyNumberFormat="1" applyFont="1" applyFill="1" applyBorder="1" applyAlignment="1">
      <x:alignment vertical="top" wrapText="1"/>
    </x:xf>
    <x:xf numFmtId="0" fontId="0" fillId="23" xfId="0" applyNumberFormat="1" applyFont="1" applyFill="1" applyBorder="0" applyAlignment="1">
      <x:alignment vertical="top" wrapText="1"/>
    </x:xf>
    <x:xf numFmtId="0" fontId="7" fillId="23" xfId="0" applyNumberFormat="1" applyFont="1" applyFill="1" applyBorder="0" applyAlignment="1">
      <x:alignment vertical="top" wrapText="1"/>
    </x:xf>
    <x:xf numFmtId="0" fontId="0" fillId="23" borderId="7" xfId="0" applyNumberFormat="1" applyFont="1" applyFill="1" applyBorder="1" applyAlignment="1">
      <x:alignment vertical="top" wrapText="1"/>
    </x:xf>
    <x:xf numFmtId="0" fontId="7" fillId="23" borderId="7" xfId="0" applyNumberFormat="1" applyFont="1" applyFill="1" applyBorder="1" applyAlignment="1">
      <x:alignment vertical="top" wrapText="1"/>
    </x:xf>
    <x:xf numFmtId="0" fontId="0" fillId="21" borderId="7" xfId="0" applyNumberFormat="1" applyFont="1" applyFill="1" applyBorder="1" applyAlignment="1">
      <x:alignment vertical="top" wrapText="1"/>
    </x:xf>
    <x:xf numFmtId="0" fontId="7" fillId="21" borderId="7" xfId="0" applyNumberFormat="1" applyFont="1" applyFill="1" applyBorder="1" applyAlignment="1">
      <x:alignment vertical="top" wrapText="1"/>
    </x:xf>
    <x:xf numFmtId="0" fontId="0" fillId="24" borderId="7" xfId="0" applyNumberFormat="1" applyFont="1" applyFill="1" applyBorder="1" applyAlignment="1">
      <x:alignment vertical="top" wrapText="1"/>
    </x:xf>
    <x:xf numFmtId="0" fontId="7" fillId="24" borderId="7" xfId="0" applyNumberFormat="1" applyFont="1" applyFill="1" applyBorder="1" applyAlignment="1">
      <x:alignment vertical="top" wrapText="1"/>
    </x:xf>
    <x:xf numFmtId="0" fontId="0" fillId="24" borderId="9" xfId="0" applyNumberFormat="1" applyFont="1" applyFill="1" applyBorder="1" applyAlignment="1">
      <x:alignment vertical="top" wrapText="1"/>
    </x:xf>
    <x:xf numFmtId="0" fontId="7" fillId="24" borderId="9" xfId="0" applyNumberFormat="1" applyFont="1" applyFill="1" applyBorder="1" applyAlignment="1">
      <x:alignment vertical="top" wrapText="1"/>
    </x:xf>
    <x:xf numFmtId="0" fontId="0" fillId="20" borderId="10" xfId="0" applyNumberFormat="1" applyFont="1" applyFill="1" applyBorder="1" applyAlignment="1">
      <x:alignment vertical="top" wrapText="1"/>
    </x:xf>
    <x:xf numFmtId="0" fontId="7" fillId="20" borderId="10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14" xfId="0" applyNumberFormat="1" applyFont="1" applyFill="1" applyBorder="0" applyAlignment="1">
      <x:alignment vertical="top" wrapText="1"/>
    </x:xf>
    <x:xf numFmtId="0" fontId="7" fillId="14" xfId="0" applyNumberFormat="1" applyFont="1" applyFill="1" applyBorder="0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0" fontId="7" fillId="14" borderId="0" xfId="0" applyNumberFormat="1" applyFont="1" applyFill="1" applyBorder="1" applyAlignment="1">
      <x:alignment vertical="top" wrapText="1"/>
    </x:xf>
    <x:xf numFmtId="0" fontId="0" fillId="11" xfId="0" applyNumberFormat="1" applyFont="1" applyFill="1" applyBorder="0" applyAlignment="1">
      <x:alignment vertical="top" wrapText="1"/>
    </x:xf>
    <x:xf numFmtId="0" fontId="7" fillId="11" xfId="0" applyNumberFormat="1" applyFont="1" applyFill="1" applyBorder="0" applyAlignment="1">
      <x:alignment vertical="top" wrapText="1"/>
    </x:xf>
    <x:xf numFmtId="0" fontId="0" fillId="15" xfId="0" applyNumberFormat="1" applyFont="1" applyFill="1" applyBorder="0" applyAlignment="1">
      <x:alignment vertical="top" wrapText="1"/>
    </x:xf>
    <x:xf numFmtId="0" fontId="7" fillId="15" xfId="0" applyNumberFormat="1" applyFont="1" applyFill="1" applyBorder="0" applyAlignment="1">
      <x:alignment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 applyAlignment="1">
      <x:alignment vertical="top" wrapText="1"/>
    </x:xf>
    <x:xf numFmtId="0" fontId="7" fillId="24" borderId="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7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horizontal="center" wrapText="1"/>
    </x:xf>
    <x:xf numFmtId="0" fontId="3" fillId="29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0" fillId="30" borderId="0" xfId="0" applyNumberFormat="1" applyFont="1" applyFill="1" applyBorder="1" applyAlignment="1">
      <x:alignment wrapText="1"/>
    </x:xf>
    <x:xf numFmtId="0" fontId="4" fillId="30" borderId="0" xfId="0" applyNumberFormat="1" applyFont="1" applyFill="1" applyBorder="1" applyAlignment="1">
      <x:alignment wrapText="1"/>
    </x:xf>
    <x:xf numFmtId="0" fontId="4" fillId="30" borderId="0" xfId="0" applyNumberFormat="1" applyFont="1" applyFill="1" applyBorder="1" applyAlignment="1">
      <x:alignment horizontal="left" wrapText="1"/>
    </x:xf>
    <x:xf numFmtId="0" fontId="4" fillId="30" borderId="0" xfId="0" applyNumberFormat="1" applyFont="1" applyFill="1" applyBorder="1" applyAlignment="1">
      <x:alignment horizontal="left" vertical="center" wrapText="1"/>
    </x:xf>
    <x:xf numFmtId="0" fontId="0" fillId="31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 applyAlignment="1">
      <x:alignment horizontal="left" wrapText="1"/>
    </x:xf>
    <x:xf numFmtId="0" fontId="13" fillId="31" borderId="0" xfId="0" applyNumberFormat="1" applyFont="1" applyFill="1" applyBorder="1" applyAlignment="1">
      <x:alignment horizontal="left" vertical="center" wrapText="1"/>
    </x:xf>
    <x:xf numFmtId="0" fontId="0" fillId="32" borderId="0" xfId="0" applyNumberFormat="1" applyFont="1" applyFill="1" applyBorder="1" applyAlignment="1">
      <x:alignment wrapText="1"/>
    </x:xf>
    <x:xf numFmtId="0" fontId="14" fillId="32" borderId="0" xfId="0" applyNumberFormat="1" applyFont="1" applyFill="1" applyBorder="1" applyAlignment="1">
      <x:alignment wrapText="1"/>
    </x:xf>
    <x:xf numFmtId="0" fontId="14" fillId="32" borderId="0" xfId="0" applyNumberFormat="1" applyFont="1" applyFill="1" applyBorder="1" applyAlignment="1">
      <x:alignment horizontal="left" wrapText="1"/>
    </x:xf>
    <x:xf numFmtId="0" fontId="14" fillId="32" borderId="0" xfId="0" applyNumberFormat="1" applyFont="1" applyFill="1" applyBorder="1" applyAlignment="1">
      <x:alignment horizontal="left" vertical="center" wrapText="1"/>
    </x:xf>
    <x:xf numFmtId="0" fontId="0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horizontal="center" wrapText="1"/>
    </x:xf>
    <x:xf numFmtId="0" fontId="3" fillId="33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 applyAlignment="1">
      <x:alignment wrapText="1"/>
    </x:xf>
    <x:xf numFmtId="0" fontId="15" fillId="34" borderId="0" xfId="0" applyNumberFormat="1" applyFont="1" applyFill="1" applyBorder="1" applyAlignment="1">
      <x:alignment wrapText="1"/>
    </x:xf>
    <x:xf numFmtId="0" fontId="15" fillId="34" borderId="0" xfId="0" applyNumberFormat="1" applyFont="1" applyFill="1" applyBorder="1" applyAlignment="1">
      <x:alignment horizontal="left" wrapText="1"/>
    </x:xf>
    <x:xf numFmtId="0" fontId="15" fillId="34" borderId="0" xfId="0" applyNumberFormat="1" applyFont="1" applyFill="1" applyBorder="1" applyAlignment="1">
      <x:alignment horizontal="left" vertical="center" wrapText="1"/>
    </x:xf>
    <x:xf numFmtId="0" fontId="0" fillId="35" borderId="0" xfId="0" applyNumberFormat="1" applyFont="1" applyFill="1" applyBorder="1" applyAlignment="1">
      <x:alignment wrapText="1"/>
    </x:xf>
    <x:xf numFmtId="0" fontId="10" fillId="35" borderId="0" xfId="0" applyNumberFormat="1" applyFont="1" applyFill="1" applyBorder="1" applyAlignment="1">
      <x:alignment wrapText="1"/>
    </x:xf>
    <x:xf numFmtId="0" fontId="10" fillId="35" borderId="0" xfId="0" applyNumberFormat="1" applyFont="1" applyFill="1" applyBorder="1" applyAlignment="1">
      <x:alignment horizontal="left" wrapText="1"/>
    </x:xf>
    <x:xf numFmtId="0" fontId="10" fillId="35" borderId="0" xfId="0" applyNumberFormat="1" applyFont="1" applyFill="1" applyBorder="1" applyAlignment="1">
      <x:alignment horizontal="left" vertical="center" wrapText="1"/>
    </x:xf>
    <x:xf numFmtId="0" fontId="15" fillId="36" borderId="0" xfId="0" applyNumberFormat="1" applyFont="1" applyFill="1" applyBorder="1" applyAlignment="1">
      <x:alignment horizontal="left" vertical="center" wrapText="1"/>
    </x:xf>
    <x:xf numFmtId="0" fontId="16" fillId="36" borderId="0" xfId="0" applyNumberFormat="1" applyFont="1" applyFill="1" applyBorder="1" applyAlignment="1">
      <x:alignment horizontal="left" vertical="center" wrapText="1"/>
    </x:xf>
    <x:xf numFmtId="0" fontId="16" fillId="36" borderId="0" xfId="0" applyNumberFormat="1" applyFont="1" applyFill="1" applyBorder="1" applyAlignment="1">
      <x:alignment horizontal="center" vertical="center" wrapText="1"/>
    </x:xf>
    <x:xf numFmtId="0" fontId="15" fillId="3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a306f8263491c" /><Relationship Type="http://schemas.openxmlformats.org/officeDocument/2006/relationships/theme" Target="/xl/theme/theme1.xml" Id="Reec3c0800b644005" /><Relationship Type="http://schemas.openxmlformats.org/officeDocument/2006/relationships/sharedStrings" Target="/xl/sharedStrings.xml" Id="Rcaea1eb8c06348cd" /><Relationship Type="http://schemas.openxmlformats.org/officeDocument/2006/relationships/worksheet" Target="/xl/worksheets/sheet1.xml" Id="Re458758cf22d4005" /><Relationship Type="http://schemas.openxmlformats.org/officeDocument/2006/relationships/worksheet" Target="/xl/worksheets/sheet2.xml" Id="R762f842a4f8e480f" /><Relationship Type="http://schemas.openxmlformats.org/officeDocument/2006/relationships/worksheet" Target="/xl/worksheets/sheet3.xml" Id="Rd323340639f94bf4" /><Relationship Type="http://schemas.openxmlformats.org/officeDocument/2006/relationships/worksheet" Target="/xl/worksheets/sheet4.xml" Id="R8621ddca6e4f4f9b" /><Relationship Type="http://schemas.openxmlformats.org/officeDocument/2006/relationships/worksheet" Target="/xl/worksheets/sheet5.xml" Id="Rcad915c946d540f1" /><Relationship Type="http://schemas.openxmlformats.org/officeDocument/2006/relationships/worksheet" Target="/xl/worksheets/sheet6.xml" Id="R5c30e0a7b8374ab0" /><Relationship Type="http://schemas.openxmlformats.org/officeDocument/2006/relationships/worksheet" Target="/xl/worksheets/sheet7.xml" Id="Ree7df3e715084aa7" /><Relationship Type="http://schemas.openxmlformats.org/officeDocument/2006/relationships/worksheet" Target="/xl/worksheets/sheet8.xml" Id="Rb711953976e047ed" /><Relationship Type="http://schemas.openxmlformats.org/officeDocument/2006/relationships/worksheet" Target="/xl/worksheets/sheet9.xml" Id="R58d82f5cbed34cab" /></Relationships>
</file>

<file path=xl/tables/table1.xml><?xml version="1.0" encoding="utf-8"?>
<x:table xmlns:x="http://schemas.openxmlformats.org/spreadsheetml/2006/main" id="1" name="G02RunTable" displayName="G02RunTable" ref="A3:N48" headerRowCount="1">
  <x:tableColumns count="14">
    <x:tableColumn id="1" name="Ordine"/>
    <x:tableColumn id="2" name="Run_ID"/>
    <x:tableColumn id="3" name="Configurazione"/>
    <x:tableColumn id="4" name="Densità"/>
    <x:tableColumn id="5" name="Profilo task"/>
    <x:tableColumn id="6" name="Seed"/>
    <x:tableColumn id="7" name="Replica"/>
    <x:tableColumn id="8" name="Stato"/>
    <x:tableColumn id="9" name="Esito sintetico"/>
    <x:tableColumn id="10" name="Problema / anomalia"/>
    <x:tableColumn id="11" name="Run MOSAIC"/>
    <x:tableColumn id="12" name="Validator"/>
    <x:tableColumn id="13" name="Errori"/>
    <x:tableColumn id="14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G02ConfigSummaryTable" displayName="G02ConfigSummaryTable" ref="A3:J12" headerRowCount="1">
  <x:tableColumns count="10">
    <x:tableColumn id="1" name="Configurazione"/>
    <x:tableColumn id="2" name="Densità"/>
    <x:tableColumn id="3" name="Profilo task"/>
    <x:tableColumn id="4" name="Run previste"/>
    <x:tableColumn id="5" name="Completate"/>
    <x:tableColumn id="6" name="PASS"/>
    <x:tableColumn id="7" name="Con problemi"/>
    <x:tableColumn id="8" name="Avanzamento"/>
    <x:tableColumn id="9" name="Ruolo"/>
    <x:tableColumn id="10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dfdf7f0d224a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5d7fc78b8a4192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15" hidden="0" customWidth="1"/>
    <x:col min="4" max="4" width="16" hidden="0" customWidth="1"/>
    <x:col min="5" max="5" width="23" hidden="0" customWidth="1"/>
    <x:col min="6" max="6" width="14" hidden="0" customWidth="1"/>
    <x:col min="7" max="7" width="20" hidden="0" customWidth="1"/>
    <x:col min="8" max="8" width="32" hidden="0" customWidth="1"/>
  </x:cols>
  <x:sheetData>
    <x:row r="1">
      <x:c r="A1" s="116" t="str">
        <x:v>Matrice semplificata — G06 chiusa con stale controllato e limiti documentati</x:v>
      </x:c>
      <x:c r="B1" s="116"/>
      <x:c r="C1" s="116"/>
      <x:c r="D1" s="116"/>
      <x:c r="E1" s="116"/>
      <x:c r="F1" s="116"/>
      <x:c r="G1" s="116"/>
      <x:c r="H1" s="116"/>
      <x:c r="I1" s="41"/>
      <x:c r="J1" s="41"/>
      <x:c r="K1" s="41"/>
      <x:c r="L1" s="41"/>
      <x:c r="M1" s="41"/>
      <x:c r="N1" s="41"/>
    </x:row>
    <x:row r="2">
      <x:c r="A2" s="117" t="str">
        <x:v>G06: forced-stale 33/33; 36.486 record cross-run; test canonici coperti. Prossimo passo: audit residui.</x:v>
      </x:c>
      <x:c r="B2" s="117"/>
      <x:c r="C2" s="117"/>
      <x:c r="D2" s="117"/>
      <x:c r="E2" s="117"/>
      <x:c r="F2" s="117"/>
      <x:c r="G2" s="117"/>
      <x:c r="H2" s="117"/>
      <x:c r="I2" s="41"/>
      <x:c r="J2" s="41"/>
      <x:c r="K2" s="41"/>
      <x:c r="L2" s="41"/>
      <x:c r="M2" s="41"/>
      <x:c r="N2" s="41"/>
    </x:row>
    <x:row r="3">
      <x:c r="A3" s="46"/>
      <x:c r="B3" s="46"/>
      <x:c r="C3" s="46"/>
      <x:c r="D3" s="46"/>
      <x:c r="E3" s="46"/>
      <x:c r="F3" s="46"/>
      <x:c r="G3" s="46"/>
      <x:c r="H3" s="46"/>
      <x:c r="I3" s="41"/>
      <x:c r="J3" s="41"/>
      <x:c r="K3" s="41"/>
      <x:c r="L3" s="41"/>
      <x:c r="M3" s="41"/>
      <x:c r="N3" s="41"/>
    </x:row>
    <x:row r="4">
      <x:c r="A4" s="118" t="str">
        <x:v>File temporali</x:v>
      </x:c>
      <x:c r="B4" s="118"/>
      <x:c r="C4" s="118" t="str">
        <x:v>Record temporali</x:v>
      </x:c>
      <x:c r="D4" s="118"/>
      <x:c r="E4" s="118" t="str">
        <x:v>Job forced-stale</x:v>
      </x:c>
      <x:c r="F4" s="118"/>
      <x:c r="G4" s="118" t="str">
        <x:v>Test canonici</x:v>
      </x:c>
      <x:c r="H4" s="118"/>
      <x:c r="I4" s="41"/>
      <x:c r="J4" s="41"/>
      <x:c r="K4" s="41"/>
      <x:c r="L4" s="41"/>
      <x:c r="M4" s="41"/>
      <x:c r="N4" s="41"/>
    </x:row>
    <x:row r="5">
      <x:c r="A5" s="119" t="n">
        <x:v>72</x:v>
      </x:c>
      <x:c r="B5" s="119"/>
      <x:c r="C5" s="119" t="n">
        <x:v>36486</x:v>
      </x:c>
      <x:c r="D5" s="119"/>
      <x:c r="E5" s="119" t="str">
        <x:v>33/33 stale</x:v>
      </x:c>
      <x:c r="F5" s="119"/>
      <x:c r="G5" s="119" t="str">
        <x:v>10/10</x:v>
      </x:c>
      <x:c r="H5" s="119"/>
      <x:c r="I5" s="41"/>
      <x:c r="J5" s="41"/>
      <x:c r="K5" s="41"/>
      <x:c r="L5" s="41"/>
      <x:c r="M5" s="41"/>
      <x:c r="N5" s="41"/>
    </x:row>
    <x:row r="6">
      <x:c r="A6" s="119"/>
      <x:c r="B6" s="119"/>
      <x:c r="C6" s="119"/>
      <x:c r="D6" s="119"/>
      <x:c r="E6" s="119"/>
      <x:c r="F6" s="119"/>
      <x:c r="G6" s="119"/>
      <x:c r="H6" s="119"/>
      <x:c r="I6" s="41"/>
      <x:c r="J6" s="41"/>
      <x:c r="K6" s="41"/>
      <x:c r="L6" s="41"/>
      <x:c r="M6" s="41"/>
      <x:c r="N6" s="41"/>
    </x:row>
    <x:row r="7">
      <x:c r="A7" s="46"/>
      <x:c r="B7" s="46"/>
      <x:c r="C7" s="46"/>
      <x:c r="D7" s="46"/>
      <x:c r="E7" s="46"/>
      <x:c r="F7" s="46"/>
      <x:c r="G7" s="46"/>
      <x:c r="H7" s="46"/>
      <x:c r="I7" s="41"/>
      <x:c r="J7" s="41"/>
      <x:c r="K7" s="41"/>
      <x:c r="L7" s="41"/>
      <x:c r="M7" s="41"/>
      <x:c r="N7" s="41"/>
    </x:row>
    <x:row r="8">
      <x:c r="A8" s="115" t="str">
        <x:v>Stato generale</x:v>
      </x:c>
      <x:c r="B8" s="115" t="str">
        <x:v>G06 PASS_WITH_CONTROLLED_STALE_AND_DOCUMENTED_LIMITS</x:v>
      </x:c>
      <x:c r="C8" s="46"/>
      <x:c r="D8" s="45" t="str">
        <x:v>Indicatore</x:v>
      </x:c>
      <x:c r="E8" s="45" t="str">
        <x:v>Valore</x:v>
      </x:c>
      <x:c r="F8" s="46"/>
      <x:c r="G8" s="45" t="str">
        <x:v>Controllo</x:v>
      </x:c>
      <x:c r="H8" s="45" t="str">
        <x:v>Valore</x:v>
      </x:c>
      <x:c r="I8" s="41"/>
      <x:c r="J8" s="41"/>
      <x:c r="K8" s="41"/>
      <x:c r="L8" s="41"/>
      <x:c r="M8" s="41"/>
      <x:c r="N8" s="41"/>
    </x:row>
    <x:row r="9">
      <x:c r="A9" s="46" t="str">
        <x:v>G02</x:v>
      </x:c>
      <x:c r="B9" s="46" t="str">
        <x:v>PASS_45_OF_45</x:v>
      </x:c>
      <x:c r="C9" s="46"/>
      <x:c r="D9" s="46" t="str">
        <x:v>T-116</x:v>
      </x:c>
      <x:c r="E9" s="46" t="str">
        <x:v>PASS con limite</x:v>
      </x:c>
      <x:c r="F9" s="46"/>
      <x:c r="G9" s="46" t="str">
        <x:v>Core Java</x:v>
      </x:c>
      <x:c r="H9" s="46" t="str">
        <x:v>Invariato</x:v>
      </x:c>
      <x:c r="I9" s="41"/>
      <x:c r="J9" s="41"/>
      <x:c r="K9" s="41"/>
      <x:c r="L9" s="41"/>
      <x:c r="M9" s="41"/>
      <x:c r="N9" s="41"/>
    </x:row>
    <x:row r="10">
      <x:c r="A10" s="46" t="str">
        <x:v>G03</x:v>
      </x:c>
      <x:c r="B10" s="150" t="str">
        <x:v>PASS_CON_LIMITE_STRESS</x:v>
      </x:c>
      <x:c r="C10" s="46"/>
      <x:c r="D10" s="46" t="str">
        <x:v>Validator stale</x:v>
      </x:c>
      <x:c r="E10" s="150" t="str">
        <x:v>FAILED atteso</x:v>
      </x:c>
      <x:c r="F10" s="46"/>
      <x:c r="G10" s="46" t="str">
        <x:v>Snapshot lag G06</x:v>
      </x:c>
      <x:c r="H10" s="46" t="str">
        <x:v>0 s</x:v>
      </x:c>
      <x:c r="I10" s="41"/>
      <x:c r="J10" s="41"/>
      <x:c r="K10" s="41"/>
      <x:c r="L10" s="41"/>
      <x:c r="M10" s="41"/>
      <x:c r="N10" s="41"/>
    </x:row>
    <x:row r="11">
      <x:c r="A11" s="46" t="str">
        <x:v>G04</x:v>
      </x:c>
      <x:c r="B11" s="150" t="str">
        <x:v>PASS_WITH_OBSERVABILITY_LIMITS</x:v>
      </x:c>
      <x:c r="C11" s="46"/>
      <x:c r="D11" s="46" t="str">
        <x:v>Run opzionali</x:v>
      </x:c>
      <x:c r="E11" s="150" t="str">
        <x:v>SKIP</x:v>
      </x:c>
      <x:c r="F11" s="46"/>
      <x:c r="G11" s="46" t="str">
        <x:v>Violazioni G06</x:v>
      </x:c>
      <x:c r="H11" s="46" t="n">
        <x:v>0</x:v>
      </x:c>
      <x:c r="I11" s="41"/>
      <x:c r="J11" s="41"/>
      <x:c r="K11" s="41"/>
      <x:c r="L11" s="41"/>
      <x:c r="M11" s="41"/>
      <x:c r="N11" s="41"/>
    </x:row>
    <x:row r="12">
      <x:c r="A12" s="46" t="str">
        <x:v>G05</x:v>
      </x:c>
      <x:c r="B12" s="46" t="str">
        <x:v>PASS_WITH_RESOURCE_AND_TEMPORAL_LIMITS</x:v>
      </x:c>
      <x:c r="C12" s="46"/>
      <x:c r="D12" s="46" t="str">
        <x:v>G06</x:v>
      </x:c>
      <x:c r="E12" s="150" t="str">
        <x:v>PASS_WITH_CONTROLLED_STALE_AND_DOCUMENTED_LIMITS</x:v>
      </x:c>
      <x:c r="F12" s="46"/>
      <x:c r="G12" s="46" t="str">
        <x:v>Sequenza</x:v>
      </x:c>
      <x:c r="H12" s="46" t="str">
        <x:v>audit→G04-R?→G02B→G07</x:v>
      </x:c>
      <x:c r="I12" s="41"/>
      <x:c r="J12" s="41"/>
      <x:c r="K12" s="41"/>
      <x:c r="L12" s="41"/>
      <x:c r="M12" s="41"/>
      <x:c r="N12" s="41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1"/>
      <x:c r="J13" s="41"/>
      <x:c r="K13" s="41"/>
      <x:c r="L13" s="41"/>
      <x:c r="M13" s="41"/>
      <x:c r="N13" s="41"/>
    </x:row>
    <x:row r="14">
      <x:c r="A14" s="45" t="str">
        <x:v>Voce</x:v>
      </x:c>
      <x:c r="B14" s="45" t="str">
        <x:v>Valore</x:v>
      </x:c>
      <x:c r="C14" s="46"/>
      <x:c r="D14" s="45" t="str">
        <x:v>Come usare questa matrice</x:v>
      </x:c>
      <x:c r="E14" s="45"/>
      <x:c r="F14" s="45"/>
      <x:c r="G14" s="45"/>
      <x:c r="H14" s="45"/>
      <x:c r="I14" s="41"/>
      <x:c r="J14" s="41"/>
      <x:c r="K14" s="41"/>
      <x:c r="L14" s="41"/>
      <x:c r="M14" s="41"/>
      <x:c r="N14" s="41"/>
    </x:row>
    <x:row r="15">
      <x:c r="A15" s="46" t="str">
        <x:v>Avanzamento G06</x:v>
      </x:c>
      <x:c r="B15" s="60" t="str">
        <x:v>Chiusura formale e matrici da allineare</x:v>
      </x:c>
      <x:c r="C15" s="46"/>
      <x:c r="D15" s="46" t="n">
        <x:v>1</x:v>
      </x:c>
      <x:c r="E15" s="46" t="str">
        <x:v>Apri 08_Risultati_G06.</x:v>
      </x:c>
      <x:c r="F15" s="46"/>
      <x:c r="G15" s="46"/>
      <x:c r="H15" s="46"/>
      <x:c r="I15" s="41"/>
      <x:c r="J15" s="41"/>
      <x:c r="K15" s="41"/>
      <x:c r="L15" s="41"/>
      <x:c r="M15" s="41"/>
      <x:c r="N15" s="41"/>
    </x:row>
    <x:row r="16">
      <x:c r="A16" s="46" t="str">
        <x:v>Prossima attività</x:v>
      </x:c>
      <x:c r="B16" s="46" t="str">
        <x:v>Auditare T-091/T-094 e decidere eventuali G04-R</x:v>
      </x:c>
      <x:c r="C16" s="46"/>
      <x:c r="D16" s="46" t="n">
        <x:v>2</x:v>
      </x:c>
      <x:c r="E16" s="46" t="str">
        <x:v>Poi G02B e G07.</x:v>
      </x:c>
      <x:c r="F16" s="46"/>
      <x:c r="G16" s="46"/>
      <x:c r="H16" s="46"/>
      <x:c r="I16" s="41"/>
      <x:c r="J16" s="41"/>
      <x:c r="K16" s="41"/>
      <x:c r="L16" s="41"/>
      <x:c r="M16" s="41"/>
      <x:c r="N16" s="41"/>
    </x:row>
    <x:row r="17">
      <x:c r="A17" s="46" t="str">
        <x:v>Verdetti</x:v>
      </x:c>
      <x:c r="B17" s="46" t="str">
        <x:v>T-110–T-117, T-119 e T-120 coperti</x:v>
      </x:c>
      <x:c r="C17" s="46"/>
      <x:c r="D17" s="46" t="n">
        <x:v>3</x:v>
      </x:c>
      <x:c r="E17" s="46" t="str">
        <x:v>T-118 N/A; T-121 opzionale.</x:v>
      </x:c>
      <x:c r="F17" s="46"/>
      <x:c r="G17" s="46"/>
      <x:c r="H17" s="46"/>
      <x:c r="I17" s="41"/>
      <x:c r="J17" s="41"/>
      <x:c r="K17" s="41"/>
      <x:c r="L17" s="41"/>
      <x:c r="M17" s="41"/>
      <x:c r="N17" s="41"/>
    </x:row>
    <x:row r="18" ht="30" customHeight="1">
      <x:c r="A18" s="46" t="str">
        <x:v>Limite principale</x:v>
      </x:c>
      <x:c r="B18" s="46" t="str">
        <x:v>Nessuna strategia precedente nella run stale; validator smoke incompatibile</x:v>
      </x:c>
      <x:c r="C18" s="46"/>
      <x:c r="D18" s="46" t="n">
        <x:v>4</x:v>
      </x:c>
      <x:c r="E18" s="46" t="str">
        <x:v>Non modificare il validator canonico.</x:v>
      </x:c>
      <x:c r="F18" s="46"/>
      <x:c r="G18" s="46"/>
      <x:c r="H18" s="46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D14:H14"/>
    <x:mergeCell ref="E15:H15"/>
    <x:mergeCell ref="E16:H16"/>
    <x:mergeCell ref="E17:H17"/>
    <x:mergeCell ref="E18:H18"/>
  </x:mergeCells>
  <x:conditionalFormatting sqref="B9:B12">
    <x:cfRule type="expression" dxfId="5" priority="1">
      <x:formula>B9="PASS"</x:formula>
    </x:cfRule>
    <x:cfRule type="expression" dxfId="6" priority="2">
      <x:formula>B9="PASS_CON_LIMITAZIONE"</x:formula>
    </x:cfRule>
  </x:conditionalFormatting>
  <x:conditionalFormatting sqref="B15:B15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{C70D83D8-D148-2DAB-CCB3-ED718FA55958}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70D83D8-D148-2DAB-CCB3-ED718FA55958}">
            <x14:dataBar gradient="1">
              <x14:cfvo type="min"/>
              <x14:cfvo type="max"/>
              <x14:fillColor rgb="FF5B9BD5"/>
            </x14:dataBar>
          </x14:cfRule>
          <xm:sqref>B15:B15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11" hidden="0" customWidth="1"/>
    <x:col min="7" max="7" width="9" hidden="0" customWidth="1"/>
    <x:col min="8" max="8" width="23" hidden="0" customWidth="1"/>
    <x:col min="9" max="9" width="28" hidden="0" customWidth="1"/>
    <x:col min="10" max="10" width="34" hidden="0" customWidth="1"/>
    <x:col min="11" max="11" width="34" hidden="0" customWidth="1"/>
    <x:col min="12" max="12" width="28" hidden="0" customWidth="1"/>
    <x:col min="13" max="13" width="9" hidden="0" customWidth="1"/>
    <x:col min="14" max="14" width="38" hidden="0" customWidth="1"/>
  </x:cols>
  <x:sheetData>
    <x:row r="1">
      <x:c r="A1" s="58" t="str">
        <x:v>Run G02 — storico definitivo 45/45 PASS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</x:row>
    <x:row r="2">
      <x:c r="A2" s="42" t="str">
        <x:v>Aggiorna soprattutto Stato, Esito sintetico, Problema/Anomalia, Run MOSAIC e Note. La matrice completa resta la fonte tecnica ufficiale.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43" t="str">
        <x:v>Ordine</x:v>
      </x:c>
      <x:c r="B3" s="43" t="str">
        <x:v>Run_ID</x:v>
      </x:c>
      <x:c r="C3" s="43" t="str">
        <x:v>Configurazione</x:v>
      </x:c>
      <x:c r="D3" s="43" t="str">
        <x:v>Densità</x:v>
      </x:c>
      <x:c r="E3" s="43" t="str">
        <x:v>Profilo task</x:v>
      </x:c>
      <x:c r="F3" s="43" t="str">
        <x:v>Seed</x:v>
      </x:c>
      <x:c r="G3" s="43" t="str">
        <x:v>Replica</x:v>
      </x:c>
      <x:c r="H3" s="43" t="str">
        <x:v>Stato</x:v>
      </x:c>
      <x:c r="I3" s="43" t="str">
        <x:v>Esito sintetico</x:v>
      </x:c>
      <x:c r="J3" s="43" t="str">
        <x:v>Problema / anomalia</x:v>
      </x:c>
      <x:c r="K3" s="43" t="str">
        <x:v>Run MOSAIC</x:v>
      </x:c>
      <x:c r="L3" s="43" t="str">
        <x:v>Validator</x:v>
      </x:c>
      <x:c r="M3" s="43" t="str">
        <x:v>Errori</x:v>
      </x:c>
      <x:c r="N3" s="43" t="str">
        <x:v>Note</x:v>
      </x:c>
    </x:row>
    <x:row r="4" ht="26.399999618530273" hidden="0" customHeight="1">
      <x:c r="A4" s="46" t="n">
        <x:v>1</x:v>
      </x:c>
      <x:c r="B4" s="46" t="str">
        <x:v>L-E-01</x:v>
      </x:c>
      <x:c r="C4" s="46" t="str">
        <x:v>CFG-L-E</x:v>
      </x:c>
      <x:c r="D4" s="46" t="str">
        <x:v>Bassa</x:v>
      </x:c>
      <x:c r="E4" s="46" t="str">
        <x:v>Elementare</x:v>
      </x:c>
      <x:c r="F4" s="46" t="n">
        <x:v>104729</x:v>
      </x:c>
      <x:c r="G4" s="46" t="n">
        <x:v>1</x:v>
      </x:c>
      <x:c r="H4" s="64" t="str">
        <x:v>PASS</x:v>
      </x:c>
      <x:c r="I4" s="46" t="str">
        <x:v>PASS — validator 0 errori; lag 0 s; violazioni 0</x:v>
      </x:c>
      <x:c r="J4" s="46" t="str">
        <x:v>Wrapper recuperato; simulazione non ripetuta</x:v>
      </x:c>
      <x:c r="K4" s="46" t="str">
        <x:v>log-20260623-001953-MaGaLiteratureBasedUrbanStudy</x:v>
      </x:c>
      <x:c r="L4" s="46" t="str">
        <x:v>LITERATURE_SMOKE_TEST_PASSED</x:v>
      </x:c>
      <x:c r="M4" s="65" t="n">
        <x:v>0</x:v>
      </x:c>
      <x:c r="N4" s="46" t="str">
        <x:v>Task 5667; pending 17; GA 720/720/717; stale 3 (0.416667%); runtime medio 0.028437 s.</x:v>
      </x:c>
    </x:row>
    <x:row r="5" ht="26.399999618530273" hidden="0" customHeight="1">
      <x:c r="A5" s="46" t="n">
        <x:v>2</x:v>
      </x:c>
      <x:c r="B5" s="46" t="str">
        <x:v>L-E-02</x:v>
      </x:c>
      <x:c r="C5" s="46" t="str">
        <x:v>CFG-L-E</x:v>
      </x:c>
      <x:c r="D5" s="46" t="str">
        <x:v>Bassa</x:v>
      </x:c>
      <x:c r="E5" s="46" t="str">
        <x:v>Elementare</x:v>
      </x:c>
      <x:c r="F5" s="46" t="n">
        <x:v>130363</x:v>
      </x:c>
      <x:c r="G5" s="46" t="n">
        <x:v>2</x:v>
      </x:c>
      <x:c r="H5" s="64" t="str">
        <x:v>PASS</x:v>
      </x:c>
      <x:c r="I5" s="46" t="str">
        <x:v>PASS — validator 0 errori; lag 0 s; violazioni 0</x:v>
      </x:c>
      <x:c r="J5" s="46" t="str">
        <x:v>Nessuno</x:v>
      </x:c>
      <x:c r="K5" s="46" t="str">
        <x:v>log-20260623-002653-MaGaLiteratureBasedUrbanStudy</x:v>
      </x:c>
      <x:c r="L5" s="46" t="str">
        <x:v>LITERATURE_SMOKE_TEST_PASSED</x:v>
      </x:c>
      <x:c r="M5" s="65" t="n">
        <x:v>0</x:v>
      </x:c>
      <x:c r="N5" s="46" t="str">
        <x:v>Task 5344; pending 24; GA 733/733/730; stale 3 (0.409277%); runtime medio 0.027099 s.</x:v>
      </x:c>
    </x:row>
    <x:row r="6" ht="26.399999618530273" hidden="0" customHeight="1">
      <x:c r="A6" s="46" t="n">
        <x:v>3</x:v>
      </x:c>
      <x:c r="B6" s="46" t="str">
        <x:v>L-E-03</x:v>
      </x:c>
      <x:c r="C6" s="46" t="str">
        <x:v>CFG-L-E</x:v>
      </x:c>
      <x:c r="D6" s="46" t="str">
        <x:v>Bassa</x:v>
      </x:c>
      <x:c r="E6" s="46" t="str">
        <x:v>Elementare</x:v>
      </x:c>
      <x:c r="F6" s="46" t="n">
        <x:v>155921</x:v>
      </x:c>
      <x:c r="G6" s="46" t="n">
        <x:v>3</x:v>
      </x:c>
      <x:c r="H6" s="64" t="str">
        <x:v>PASS</x:v>
      </x:c>
      <x:c r="I6" s="46" t="str">
        <x:v>PASS — validator 0 errori; lag 0 s; violazioni 0</x:v>
      </x:c>
      <x:c r="J6" s="46" t="str">
        <x:v>Nessuno</x:v>
      </x:c>
      <x:c r="K6" s="46" t="str">
        <x:v>log-20260623-002754-MaGaLiteratureBasedUrbanStudy</x:v>
      </x:c>
      <x:c r="L6" s="46" t="str">
        <x:v>LITERATURE_SMOKE_TEST_PASSED</x:v>
      </x:c>
      <x:c r="M6" s="65" t="n">
        <x:v>0</x:v>
      </x:c>
      <x:c r="N6" s="46" t="str">
        <x:v>Task 5483; pending 33; GA 742/742/740; stale 2 (0.269542%); runtime medio 0.027787 s.</x:v>
      </x:c>
    </x:row>
    <x:row r="7" ht="26.399999618530273" hidden="0" customHeight="1">
      <x:c r="A7" s="46" t="n">
        <x:v>4</x:v>
      </x:c>
      <x:c r="B7" s="46" t="str">
        <x:v>L-E-04</x:v>
      </x:c>
      <x:c r="C7" s="46" t="str">
        <x:v>CFG-L-E</x:v>
      </x:c>
      <x:c r="D7" s="46" t="str">
        <x:v>Bassa</x:v>
      </x:c>
      <x:c r="E7" s="46" t="str">
        <x:v>Elementare</x:v>
      </x:c>
      <x:c r="F7" s="46" t="n">
        <x:v>181081</x:v>
      </x:c>
      <x:c r="G7" s="46" t="n">
        <x:v>4</x:v>
      </x:c>
      <x:c r="H7" s="64" t="str">
        <x:v>PASS</x:v>
      </x:c>
      <x:c r="I7" s="46" t="str">
        <x:v>PASS — validator 0 errori; lag 0 s; violazioni 0</x:v>
      </x:c>
      <x:c r="J7" s="46" t="str">
        <x:v>Nessuno</x:v>
      </x:c>
      <x:c r="K7" s="46" t="str">
        <x:v>log-20260623-002856-MaGaLiteratureBasedUrbanStudy</x:v>
      </x:c>
      <x:c r="L7" s="46" t="str">
        <x:v>LITERATURE_SMOKE_TEST_PASSED</x:v>
      </x:c>
      <x:c r="M7" s="65" t="n">
        <x:v>0</x:v>
      </x:c>
      <x:c r="N7" s="46" t="str">
        <x:v>Task 5639; pending 25; GA 742/742/742; stale 0 (0.000000%); runtime medio 0.026768 s.</x:v>
      </x:c>
    </x:row>
    <x:row r="8" ht="26.399999618530273" hidden="0" customHeight="1">
      <x:c r="A8" s="46" t="n">
        <x:v>5</x:v>
      </x:c>
      <x:c r="B8" s="46" t="str">
        <x:v>L-E-05</x:v>
      </x:c>
      <x:c r="C8" s="46" t="str">
        <x:v>CFG-L-E</x:v>
      </x:c>
      <x:c r="D8" s="46" t="str">
        <x:v>Bassa</x:v>
      </x:c>
      <x:c r="E8" s="46" t="str">
        <x:v>Elementare</x:v>
      </x:c>
      <x:c r="F8" s="46" t="n">
        <x:v>207547</x:v>
      </x:c>
      <x:c r="G8" s="46" t="n">
        <x:v>5</x:v>
      </x:c>
      <x:c r="H8" s="64" t="str">
        <x:v>PASS</x:v>
      </x:c>
      <x:c r="I8" s="46" t="str">
        <x:v>PASS — validator 0 errori; lag 0 s; violazioni 0</x:v>
      </x:c>
      <x:c r="J8" s="46" t="str">
        <x:v>Nessuno</x:v>
      </x:c>
      <x:c r="K8" s="46" t="str">
        <x:v>log-20260623-002958-MaGaLiteratureBasedUrbanStudy</x:v>
      </x:c>
      <x:c r="L8" s="46" t="str">
        <x:v>LITERATURE_SMOKE_TEST_PASSED</x:v>
      </x:c>
      <x:c r="M8" s="65" t="n">
        <x:v>0</x:v>
      </x:c>
      <x:c r="N8" s="46" t="str">
        <x:v>Task 5365; pending 27; GA 838/838/838; stale 0 (0.000000%); runtime medio 0.024082 s.</x:v>
      </x:c>
    </x:row>
    <x:row r="9">
      <x:c r="A9" s="46" t="n">
        <x:v>6</x:v>
      </x:c>
      <x:c r="B9" s="46" t="str">
        <x:v>L-I-01</x:v>
      </x:c>
      <x:c r="C9" s="46" t="str">
        <x:v>CFG-L-I</x:v>
      </x:c>
      <x:c r="D9" s="46" t="str">
        <x:v>Bassa</x:v>
      </x:c>
      <x:c r="E9" s="46" t="str">
        <x:v>Intermedio</x:v>
      </x:c>
      <x:c r="F9" s="46" t="n">
        <x:v>104729</x:v>
      </x:c>
      <x:c r="G9" s="46" t="n">
        <x:v>1</x:v>
      </x:c>
      <x:c r="H9" s="46" t="str">
        <x:v>PASS</x:v>
      </x:c>
      <x:c r="I9" s="46" t="str">
        <x:v>PASS — validator 0 errori; lag 0 s; violazioni 0</x:v>
      </x:c>
      <x:c r="J9" s="46" t="str">
        <x:v>Nessuno</x:v>
      </x:c>
      <x:c r="K9" s="46" t="str">
        <x:v>log-20260623-010148-MaGaLiteratureBasedUrbanStudy</x:v>
      </x:c>
      <x:c r="L9" s="46" t="str">
        <x:v>LITERATURE_SMOKE_TEST_PASSED</x:v>
      </x:c>
      <x:c r="M9" s="46" t="n">
        <x:v>0</x:v>
      </x:c>
      <x:c r="N9" s="46" t="str">
        <x:v>Task 5667; pending 23; GA 691/691/689; stale 2 (0.289436%); runtime medio 0.032326 s.</x:v>
      </x:c>
    </x:row>
    <x:row r="10">
      <x:c r="A10" s="46" t="n">
        <x:v>7</x:v>
      </x:c>
      <x:c r="B10" s="46" t="str">
        <x:v>L-I-02</x:v>
      </x:c>
      <x:c r="C10" s="46" t="str">
        <x:v>CFG-L-I</x:v>
      </x:c>
      <x:c r="D10" s="46" t="str">
        <x:v>Bassa</x:v>
      </x:c>
      <x:c r="E10" s="46" t="str">
        <x:v>Intermedio</x:v>
      </x:c>
      <x:c r="F10" s="46" t="n">
        <x:v>130363</x:v>
      </x:c>
      <x:c r="G10" s="46" t="n">
        <x:v>2</x:v>
      </x:c>
      <x:c r="H10" s="46" t="str">
        <x:v>PASS</x:v>
      </x:c>
      <x:c r="I10" s="46" t="str">
        <x:v>PASS — validator 0 errori; lag 0 s; violazioni 0</x:v>
      </x:c>
      <x:c r="J10" s="46" t="str">
        <x:v>Nessuno</x:v>
      </x:c>
      <x:c r="K10" s="46" t="str">
        <x:v>log-20260623-010249-MaGaLiteratureBasedUrbanStudy</x:v>
      </x:c>
      <x:c r="L10" s="46" t="str">
        <x:v>LITERATURE_SMOKE_TEST_PASSED</x:v>
      </x:c>
      <x:c r="M10" s="46" t="n">
        <x:v>0</x:v>
      </x:c>
      <x:c r="N10" s="46" t="str">
        <x:v>Task 5344; pending 32; GA 723/723/722; stale 1 (0.138313%); runtime medio 0.028166 s.</x:v>
      </x:c>
    </x:row>
    <x:row r="11">
      <x:c r="A11" s="46" t="n">
        <x:v>8</x:v>
      </x:c>
      <x:c r="B11" s="46" t="str">
        <x:v>L-I-03</x:v>
      </x:c>
      <x:c r="C11" s="46" t="str">
        <x:v>CFG-L-I</x:v>
      </x:c>
      <x:c r="D11" s="46" t="str">
        <x:v>Bassa</x:v>
      </x:c>
      <x:c r="E11" s="46" t="str">
        <x:v>Intermedio</x:v>
      </x:c>
      <x:c r="F11" s="46" t="n">
        <x:v>155921</x:v>
      </x:c>
      <x:c r="G11" s="46" t="n">
        <x:v>3</x:v>
      </x:c>
      <x:c r="H11" s="46" t="str">
        <x:v>PASS</x:v>
      </x:c>
      <x:c r="I11" s="46" t="str">
        <x:v>PASS — validator 0 errori; lag 0 s; violazioni 0</x:v>
      </x:c>
      <x:c r="J11" s="46" t="str">
        <x:v>Nessuno</x:v>
      </x:c>
      <x:c r="K11" s="46" t="str">
        <x:v>log-20260623-010350-MaGaLiteratureBasedUrbanStudy</x:v>
      </x:c>
      <x:c r="L11" s="46" t="str">
        <x:v>LITERATURE_SMOKE_TEST_PASSED</x:v>
      </x:c>
      <x:c r="M11" s="46" t="n">
        <x:v>0</x:v>
      </x:c>
      <x:c r="N11" s="46" t="str">
        <x:v>Task 5483; pending 41; GA 718/718/718; stale 0 (0.000000%); runtime medio 0.028172 s.</x:v>
      </x:c>
    </x:row>
    <x:row r="12">
      <x:c r="A12" s="46" t="n">
        <x:v>9</x:v>
      </x:c>
      <x:c r="B12" s="46" t="str">
        <x:v>L-I-04</x:v>
      </x:c>
      <x:c r="C12" s="46" t="str">
        <x:v>CFG-L-I</x:v>
      </x:c>
      <x:c r="D12" s="46" t="str">
        <x:v>Bassa</x:v>
      </x:c>
      <x:c r="E12" s="46" t="str">
        <x:v>Intermedio</x:v>
      </x:c>
      <x:c r="F12" s="46" t="n">
        <x:v>181081</x:v>
      </x:c>
      <x:c r="G12" s="46" t="n">
        <x:v>4</x:v>
      </x:c>
      <x:c r="H12" s="46" t="str">
        <x:v>PASS</x:v>
      </x:c>
      <x:c r="I12" s="46" t="str">
        <x:v>PASS — validator 0 errori; lag 0 s; violazioni 0</x:v>
      </x:c>
      <x:c r="J12" s="46" t="str">
        <x:v>Nessuno</x:v>
      </x:c>
      <x:c r="K12" s="46" t="str">
        <x:v>log-20260623-010452-MaGaLiteratureBasedUrbanStudy</x:v>
      </x:c>
      <x:c r="L12" s="46" t="str">
        <x:v>LITERATURE_SMOKE_TEST_PASSED</x:v>
      </x:c>
      <x:c r="M12" s="46" t="n">
        <x:v>0</x:v>
      </x:c>
      <x:c r="N12" s="46" t="str">
        <x:v>Task 5639; pending 35; GA 687/687/686; stale 1 (0.145560%); runtime medio 0.030884 s.</x:v>
      </x:c>
    </x:row>
    <x:row r="13">
      <x:c r="A13" s="46" t="n">
        <x:v>10</x:v>
      </x:c>
      <x:c r="B13" s="46" t="str">
        <x:v>L-I-05</x:v>
      </x:c>
      <x:c r="C13" s="46" t="str">
        <x:v>CFG-L-I</x:v>
      </x:c>
      <x:c r="D13" s="46" t="str">
        <x:v>Bassa</x:v>
      </x:c>
      <x:c r="E13" s="46" t="str">
        <x:v>Intermedio</x:v>
      </x:c>
      <x:c r="F13" s="46" t="n">
        <x:v>207547</x:v>
      </x:c>
      <x:c r="G13" s="46" t="n">
        <x:v>5</x:v>
      </x:c>
      <x:c r="H13" s="46" t="str">
        <x:v>PASS</x:v>
      </x:c>
      <x:c r="I13" s="46" t="str">
        <x:v>PASS — validator 0 errori; lag 0 s; violazioni 0</x:v>
      </x:c>
      <x:c r="J13" s="46" t="str">
        <x:v>Nessuno</x:v>
      </x:c>
      <x:c r="K13" s="46" t="str">
        <x:v>log-20260623-010554-MaGaLiteratureBasedUrbanStudy</x:v>
      </x:c>
      <x:c r="L13" s="46" t="str">
        <x:v>LITERATURE_SMOKE_TEST_PASSED</x:v>
      </x:c>
      <x:c r="M13" s="46" t="n">
        <x:v>0</x:v>
      </x:c>
      <x:c r="N13" s="46" t="str">
        <x:v>Task 5365; pending 31; GA 728/728/726; stale 2 (0.274725%); runtime medio 0.028692 s.</x:v>
      </x:c>
    </x:row>
    <x:row r="14">
      <x:c r="A14" s="46" t="n">
        <x:v>11</x:v>
      </x:c>
      <x:c r="B14" s="46" t="str">
        <x:v>L-S-01</x:v>
      </x:c>
      <x:c r="C14" s="46" t="str">
        <x:v>CFG-L-S</x:v>
      </x:c>
      <x:c r="D14" s="46" t="str">
        <x:v>Bassa</x:v>
      </x:c>
      <x:c r="E14" s="46" t="str">
        <x:v>Stress</x:v>
      </x:c>
      <x:c r="F14" s="46" t="n">
        <x:v>104729</x:v>
      </x:c>
      <x:c r="G14" s="46" t="n">
        <x:v>1</x:v>
      </x:c>
      <x:c r="H14" s="46" t="str">
        <x:v>PASS</x:v>
      </x:c>
      <x:c r="I14" s="46" t="str">
        <x:v>PASS — validator 0 errori; lag 0 s; violazioni 0</x:v>
      </x:c>
      <x:c r="J14" s="46" t="str">
        <x:v>Nessuno</x:v>
      </x:c>
      <x:c r="K14" s="46" t="str">
        <x:v>log-20260623-010936-MaGaLiteratureBasedUrbanStudy</x:v>
      </x:c>
      <x:c r="L14" s="46" t="str">
        <x:v>LITERATURE_SMOKE_TEST_PASSED</x:v>
      </x:c>
      <x:c r="M14" s="46" t="n">
        <x:v>0</x:v>
      </x:c>
      <x:c r="N14" s="46" t="str">
        <x:v>Task 5667; pending 47; GA 581/581/580; stale 1 (0.172117%); runtime medio 0.045632 s.</x:v>
      </x:c>
    </x:row>
    <x:row r="15">
      <x:c r="A15" s="46" t="n">
        <x:v>12</x:v>
      </x:c>
      <x:c r="B15" s="46" t="str">
        <x:v>L-S-02</x:v>
      </x:c>
      <x:c r="C15" s="46" t="str">
        <x:v>CFG-L-S</x:v>
      </x:c>
      <x:c r="D15" s="46" t="str">
        <x:v>Bassa</x:v>
      </x:c>
      <x:c r="E15" s="46" t="str">
        <x:v>Stress</x:v>
      </x:c>
      <x:c r="F15" s="46" t="n">
        <x:v>130363</x:v>
      </x:c>
      <x:c r="G15" s="46" t="n">
        <x:v>2</x:v>
      </x:c>
      <x:c r="H15" s="46" t="str">
        <x:v>PASS</x:v>
      </x:c>
      <x:c r="I15" s="46" t="str">
        <x:v>PASS — validator 0 errori; lag 0 s; violazioni 0</x:v>
      </x:c>
      <x:c r="J15" s="46" t="str">
        <x:v>Nessuno</x:v>
      </x:c>
      <x:c r="K15" s="46" t="str">
        <x:v>log-20260623-011038-MaGaLiteratureBasedUrbanStudy</x:v>
      </x:c>
      <x:c r="L15" s="46" t="str">
        <x:v>LITERATURE_SMOKE_TEST_PASSED</x:v>
      </x:c>
      <x:c r="M15" s="46" t="n">
        <x:v>0</x:v>
      </x:c>
      <x:c r="N15" s="46" t="str">
        <x:v>Task 5344; pending 51; GA 620/620/620; stale 0 (0.000000%); runtime medio 0.039122 s.</x:v>
      </x:c>
    </x:row>
    <x:row r="16">
      <x:c r="A16" s="46" t="n">
        <x:v>13</x:v>
      </x:c>
      <x:c r="B16" s="46" t="str">
        <x:v>L-S-03</x:v>
      </x:c>
      <x:c r="C16" s="46" t="str">
        <x:v>CFG-L-S</x:v>
      </x:c>
      <x:c r="D16" s="46" t="str">
        <x:v>Bassa</x:v>
      </x:c>
      <x:c r="E16" s="46" t="str">
        <x:v>Stress</x:v>
      </x:c>
      <x:c r="F16" s="46" t="n">
        <x:v>155921</x:v>
      </x:c>
      <x:c r="G16" s="46" t="n">
        <x:v>3</x:v>
      </x:c>
      <x:c r="H16" s="46" t="str">
        <x:v>PASS</x:v>
      </x:c>
      <x:c r="I16" s="46" t="str">
        <x:v>PASS — validator 0 errori; lag 0 s; violazioni 0</x:v>
      </x:c>
      <x:c r="J16" s="46" t="str">
        <x:v>Nessuno</x:v>
      </x:c>
      <x:c r="K16" s="46" t="str">
        <x:v>log-20260623-011139-MaGaLiteratureBasedUrbanStudy</x:v>
      </x:c>
      <x:c r="L16" s="46" t="str">
        <x:v>LITERATURE_SMOKE_TEST_PASSED</x:v>
      </x:c>
      <x:c r="M16" s="46" t="n">
        <x:v>0</x:v>
      </x:c>
      <x:c r="N16" s="46" t="str">
        <x:v>Task 5483; pending 59; GA 602/602/602; stale 0 (0.000000%); runtime medio 0.039331 s.</x:v>
      </x:c>
    </x:row>
    <x:row r="17">
      <x:c r="A17" s="46" t="n">
        <x:v>14</x:v>
      </x:c>
      <x:c r="B17" s="46" t="str">
        <x:v>L-S-04</x:v>
      </x:c>
      <x:c r="C17" s="46" t="str">
        <x:v>CFG-L-S</x:v>
      </x:c>
      <x:c r="D17" s="46" t="str">
        <x:v>Bassa</x:v>
      </x:c>
      <x:c r="E17" s="46" t="str">
        <x:v>Stress</x:v>
      </x:c>
      <x:c r="F17" s="46" t="n">
        <x:v>181081</x:v>
      </x:c>
      <x:c r="G17" s="46" t="n">
        <x:v>4</x:v>
      </x:c>
      <x:c r="H17" s="46" t="str">
        <x:v>PASS</x:v>
      </x:c>
      <x:c r="I17" s="46" t="str">
        <x:v>PASS — validator 0 errori; lag 0 s; violazioni 0</x:v>
      </x:c>
      <x:c r="J17" s="46" t="str">
        <x:v>Nessuno</x:v>
      </x:c>
      <x:c r="K17" s="46" t="str">
        <x:v>log-20260623-011241-MaGaLiteratureBasedUrbanStudy</x:v>
      </x:c>
      <x:c r="L17" s="46" t="str">
        <x:v>LITERATURE_SMOKE_TEST_PASSED</x:v>
      </x:c>
      <x:c r="M17" s="46" t="n">
        <x:v>0</x:v>
      </x:c>
      <x:c r="N17" s="46" t="str">
        <x:v>Task 5639; pending 51; GA 604/604/604; stale 0 (0.000000%); runtime medio 0.041334 s.</x:v>
      </x:c>
    </x:row>
    <x:row r="18">
      <x:c r="A18" s="46" t="n">
        <x:v>15</x:v>
      </x:c>
      <x:c r="B18" s="46" t="str">
        <x:v>L-S-05</x:v>
      </x:c>
      <x:c r="C18" s="46" t="str">
        <x:v>CFG-L-S</x:v>
      </x:c>
      <x:c r="D18" s="46" t="str">
        <x:v>Bassa</x:v>
      </x:c>
      <x:c r="E18" s="46" t="str">
        <x:v>Stress</x:v>
      </x:c>
      <x:c r="F18" s="46" t="n">
        <x:v>207547</x:v>
      </x:c>
      <x:c r="G18" s="46" t="n">
        <x:v>5</x:v>
      </x:c>
      <x:c r="H18" s="46" t="str">
        <x:v>PASS</x:v>
      </x:c>
      <x:c r="I18" s="46" t="str">
        <x:v>PASS — validator 0 errori; lag 0 s; violazioni 0</x:v>
      </x:c>
      <x:c r="J18" s="46" t="str">
        <x:v>Nessuno</x:v>
      </x:c>
      <x:c r="K18" s="46" t="str">
        <x:v>log-20260623-011342-MaGaLiteratureBasedUrbanStudy</x:v>
      </x:c>
      <x:c r="L18" s="46" t="str">
        <x:v>LITERATURE_SMOKE_TEST_PASSED</x:v>
      </x:c>
      <x:c r="M18" s="46" t="n">
        <x:v>0</x:v>
      </x:c>
      <x:c r="N18" s="46" t="str">
        <x:v>Task 5365; pending 54; GA 623/623/623; stale 0 (0.000000%); runtime medio 0.038520 s.</x:v>
      </x:c>
    </x:row>
    <x:row r="19">
      <x:c r="A19" s="46" t="n">
        <x:v>16</x:v>
      </x:c>
      <x:c r="B19" s="46" t="str">
        <x:v>N-E-01</x:v>
      </x:c>
      <x:c r="C19" s="46" t="str">
        <x:v>CFG-N-E</x:v>
      </x:c>
      <x:c r="D19" s="46" t="str">
        <x:v>Nominale</x:v>
      </x:c>
      <x:c r="E19" s="46" t="str">
        <x:v>Elementare</x:v>
      </x:c>
      <x:c r="F19" s="46" t="n">
        <x:v>104729</x:v>
      </x:c>
      <x:c r="G19" s="46" t="n">
        <x:v>1</x:v>
      </x:c>
      <x:c r="H19" s="46" t="str">
        <x:v>PASS</x:v>
      </x:c>
      <x:c r="I19" s="46" t="str">
        <x:v>PASS — validator 0 errori; lag 0 s; violazioni 0</x:v>
      </x:c>
      <x:c r="J19" s="46" t="str">
        <x:v>Nessuno</x:v>
      </x:c>
      <x:c r="K19" s="46" t="str">
        <x:v>log-20260623-011651-MaGaLiteratureBasedUrbanStudy</x:v>
      </x:c>
      <x:c r="L19" s="46" t="str">
        <x:v>LITERATURE_SMOKE_TEST_PASSED</x:v>
      </x:c>
      <x:c r="M19" s="46" t="n">
        <x:v>0</x:v>
      </x:c>
      <x:c r="N19" s="46" t="str">
        <x:v>Task 9306; pending 56; GA 564/564/561; stale 3 (0.531915%); runtime medio 0.060684 s.</x:v>
      </x:c>
    </x:row>
    <x:row r="20">
      <x:c r="A20" s="46" t="n">
        <x:v>17</x:v>
      </x:c>
      <x:c r="B20" s="46" t="str">
        <x:v>N-E-02</x:v>
      </x:c>
      <x:c r="C20" s="46" t="str">
        <x:v>CFG-N-E</x:v>
      </x:c>
      <x:c r="D20" s="46" t="str">
        <x:v>Nominale</x:v>
      </x:c>
      <x:c r="E20" s="46" t="str">
        <x:v>Elementare</x:v>
      </x:c>
      <x:c r="F20" s="46" t="n">
        <x:v>130363</x:v>
      </x:c>
      <x:c r="G20" s="46" t="n">
        <x:v>2</x:v>
      </x:c>
      <x:c r="H20" s="46" t="str">
        <x:v>PASS</x:v>
      </x:c>
      <x:c r="I20" s="46" t="str">
        <x:v>PASS — validator 0 errori; lag 0 s; violazioni 0</x:v>
      </x:c>
      <x:c r="J20" s="46" t="str">
        <x:v>Nessuno</x:v>
      </x:c>
      <x:c r="K20" s="46" t="str">
        <x:v>log-20260623-011808-MaGaLiteratureBasedUrbanStudy</x:v>
      </x:c>
      <x:c r="L20" s="46" t="str">
        <x:v>LITERATURE_SMOKE_TEST_PASSED</x:v>
      </x:c>
      <x:c r="M20" s="46" t="n">
        <x:v>0</x:v>
      </x:c>
      <x:c r="N20" s="46" t="str">
        <x:v>Task 9429; pending 43; GA 556/556/555; stale 1 (0.179856%); runtime medio 0.061293 s.</x:v>
      </x:c>
    </x:row>
    <x:row r="21">
      <x:c r="A21" s="46" t="n">
        <x:v>18</x:v>
      </x:c>
      <x:c r="B21" s="46" t="str">
        <x:v>N-E-03</x:v>
      </x:c>
      <x:c r="C21" s="46" t="str">
        <x:v>CFG-N-E</x:v>
      </x:c>
      <x:c r="D21" s="46" t="str">
        <x:v>Nominale</x:v>
      </x:c>
      <x:c r="E21" s="46" t="str">
        <x:v>Elementare</x:v>
      </x:c>
      <x:c r="F21" s="46" t="n">
        <x:v>155921</x:v>
      </x:c>
      <x:c r="G21" s="46" t="n">
        <x:v>3</x:v>
      </x:c>
      <x:c r="H21" s="46" t="str">
        <x:v>PASS</x:v>
      </x:c>
      <x:c r="I21" s="46" t="str">
        <x:v>PASS — validator 0 errori; lag 0 s; violazioni 0</x:v>
      </x:c>
      <x:c r="J21" s="46" t="str">
        <x:v>Nessuno</x:v>
      </x:c>
      <x:c r="K21" s="46" t="str">
        <x:v>log-20260623-011924-MaGaLiteratureBasedUrbanStudy</x:v>
      </x:c>
      <x:c r="L21" s="46" t="str">
        <x:v>LITERATURE_SMOKE_TEST_PASSED</x:v>
      </x:c>
      <x:c r="M21" s="46" t="n">
        <x:v>0</x:v>
      </x:c>
      <x:c r="N21" s="46" t="str">
        <x:v>Task 9322; pending 56; GA 593/593/592; stale 1 (0.168634%); runtime medio 0.053767 s.</x:v>
      </x:c>
    </x:row>
    <x:row r="22">
      <x:c r="A22" s="46" t="n">
        <x:v>19</x:v>
      </x:c>
      <x:c r="B22" s="46" t="str">
        <x:v>N-E-04</x:v>
      </x:c>
      <x:c r="C22" s="46" t="str">
        <x:v>CFG-N-E</x:v>
      </x:c>
      <x:c r="D22" s="46" t="str">
        <x:v>Nominale</x:v>
      </x:c>
      <x:c r="E22" s="46" t="str">
        <x:v>Elementare</x:v>
      </x:c>
      <x:c r="F22" s="46" t="n">
        <x:v>181081</x:v>
      </x:c>
      <x:c r="G22" s="46" t="n">
        <x:v>4</x:v>
      </x:c>
      <x:c r="H22" s="46" t="str">
        <x:v>PASS</x:v>
      </x:c>
      <x:c r="I22" s="46" t="str">
        <x:v>PASS — validator 0 errori; lag 0 s; violazioni 0</x:v>
      </x:c>
      <x:c r="J22" s="46" t="str">
        <x:v>Nessuno</x:v>
      </x:c>
      <x:c r="K22" s="46" t="str">
        <x:v>log-20260623-012041-MaGaLiteratureBasedUrbanStudy</x:v>
      </x:c>
      <x:c r="L22" s="46" t="str">
        <x:v>LITERATURE_SMOKE_TEST_PASSED</x:v>
      </x:c>
      <x:c r="M22" s="46" t="n">
        <x:v>0</x:v>
      </x:c>
      <x:c r="N22" s="46" t="str">
        <x:v>Task 9413; pending 57; GA 642/642/642; stale 0 (0.000000%); runtime medio 0.051743 s.</x:v>
      </x:c>
    </x:row>
    <x:row r="23">
      <x:c r="A23" s="46" t="n">
        <x:v>20</x:v>
      </x:c>
      <x:c r="B23" s="46" t="str">
        <x:v>N-E-05</x:v>
      </x:c>
      <x:c r="C23" s="46" t="str">
        <x:v>CFG-N-E</x:v>
      </x:c>
      <x:c r="D23" s="46" t="str">
        <x:v>Nominale</x:v>
      </x:c>
      <x:c r="E23" s="46" t="str">
        <x:v>Elementare</x:v>
      </x:c>
      <x:c r="F23" s="46" t="n">
        <x:v>207547</x:v>
      </x:c>
      <x:c r="G23" s="46" t="n">
        <x:v>5</x:v>
      </x:c>
      <x:c r="H23" s="46" t="str">
        <x:v>PASS</x:v>
      </x:c>
      <x:c r="I23" s="46" t="str">
        <x:v>PASS — validator 0 errori; lag 0 s; violazioni 0</x:v>
      </x:c>
      <x:c r="J23" s="46" t="str">
        <x:v>Nessuno</x:v>
      </x:c>
      <x:c r="K23" s="46" t="str">
        <x:v>log-20260623-012157-MaGaLiteratureBasedUrbanStudy</x:v>
      </x:c>
      <x:c r="L23" s="46" t="str">
        <x:v>LITERATURE_SMOKE_TEST_PASSED</x:v>
      </x:c>
      <x:c r="M23" s="46" t="n">
        <x:v>0</x:v>
      </x:c>
      <x:c r="N23" s="46" t="str">
        <x:v>Task 9005; pending 44; GA 581/581/579; stale 2 (0.344234%); runtime medio 0.057178 s.</x:v>
      </x:c>
    </x:row>
    <x:row r="24">
      <x:c r="A24" s="46" t="n">
        <x:v>21</x:v>
      </x:c>
      <x:c r="B24" s="46" t="str">
        <x:v>N-I-01</x:v>
      </x:c>
      <x:c r="C24" s="46" t="str">
        <x:v>CFG-N-I</x:v>
      </x:c>
      <x:c r="D24" s="46" t="str">
        <x:v>Nominale</x:v>
      </x:c>
      <x:c r="E24" s="46" t="str">
        <x:v>Intermedio</x:v>
      </x:c>
      <x:c r="F24" s="46" t="n">
        <x:v>104729</x:v>
      </x:c>
      <x:c r="G24" s="46" t="n">
        <x:v>1</x:v>
      </x:c>
      <x:c r="H24" s="46" t="str">
        <x:v>PASS</x:v>
      </x:c>
      <x:c r="I24" s="46" t="str">
        <x:v>PASS — validator 0 errori; lag 0 s; violazioni 0</x:v>
      </x:c>
      <x:c r="J24" s="46" t="str">
        <x:v>Nessuno</x:v>
      </x:c>
      <x:c r="K24" s="46" t="str">
        <x:v>log-20260623-013354-MaGaLiteratureBasedUrbanStudy</x:v>
      </x:c>
      <x:c r="L24" s="46" t="str">
        <x:v>LITERATURE_SMOKE_TEST_PASSED</x:v>
      </x:c>
      <x:c r="M24" s="46" t="n">
        <x:v>0</x:v>
      </x:c>
      <x:c r="N24" s="46" t="str">
        <x:v>Task 9306; pending 65; GA 552/552/548; stale 4 (0.724638%); runtime medio 0.067955 s.</x:v>
      </x:c>
    </x:row>
    <x:row r="25">
      <x:c r="A25" s="46" t="n">
        <x:v>22</x:v>
      </x:c>
      <x:c r="B25" s="46" t="str">
        <x:v>N-I-02</x:v>
      </x:c>
      <x:c r="C25" s="46" t="str">
        <x:v>CFG-N-I</x:v>
      </x:c>
      <x:c r="D25" s="46" t="str">
        <x:v>Nominale</x:v>
      </x:c>
      <x:c r="E25" s="46" t="str">
        <x:v>Intermedio</x:v>
      </x:c>
      <x:c r="F25" s="46" t="n">
        <x:v>130363</x:v>
      </x:c>
      <x:c r="G25" s="46" t="n">
        <x:v>2</x:v>
      </x:c>
      <x:c r="H25" s="46" t="str">
        <x:v>PASS</x:v>
      </x:c>
      <x:c r="I25" s="46" t="str">
        <x:v>PASS — validator 0 errori; lag 0 s; violazioni 0</x:v>
      </x:c>
      <x:c r="J25" s="46" t="str">
        <x:v>Nessuno</x:v>
      </x:c>
      <x:c r="K25" s="46" t="str">
        <x:v>log-20260623-013510-MaGaLiteratureBasedUrbanStudy</x:v>
      </x:c>
      <x:c r="L25" s="46" t="str">
        <x:v>LITERATURE_SMOKE_TEST_PASSED</x:v>
      </x:c>
      <x:c r="M25" s="46" t="n">
        <x:v>0</x:v>
      </x:c>
      <x:c r="N25" s="46" t="str">
        <x:v>Task 9429; pending 52; GA 539/539/536; stale 3 (0.556586%); runtime medio 0.066855 s.</x:v>
      </x:c>
    </x:row>
    <x:row r="26">
      <x:c r="A26" s="46" t="n">
        <x:v>23</x:v>
      </x:c>
      <x:c r="B26" s="46" t="str">
        <x:v>N-I-03</x:v>
      </x:c>
      <x:c r="C26" s="46" t="str">
        <x:v>CFG-N-I</x:v>
      </x:c>
      <x:c r="D26" s="46" t="str">
        <x:v>Nominale</x:v>
      </x:c>
      <x:c r="E26" s="46" t="str">
        <x:v>Intermedio</x:v>
      </x:c>
      <x:c r="F26" s="46" t="n">
        <x:v>155921</x:v>
      </x:c>
      <x:c r="G26" s="46" t="n">
        <x:v>3</x:v>
      </x:c>
      <x:c r="H26" s="46" t="str">
        <x:v>PASS</x:v>
      </x:c>
      <x:c r="I26" s="46" t="str">
        <x:v>PASS — validator 0 errori; lag 0 s; violazioni 0</x:v>
      </x:c>
      <x:c r="J26" s="46" t="str">
        <x:v>Nessuno</x:v>
      </x:c>
      <x:c r="K26" s="46" t="str">
        <x:v>log-20260623-013627-MaGaLiteratureBasedUrbanStudy</x:v>
      </x:c>
      <x:c r="L26" s="46" t="str">
        <x:v>LITERATURE_SMOKE_TEST_PASSED</x:v>
      </x:c>
      <x:c r="M26" s="46" t="n">
        <x:v>0</x:v>
      </x:c>
      <x:c r="N26" s="46" t="str">
        <x:v>Task 9322; pending 64; GA 544/544/542; stale 2 (0.367647%); runtime medio 0.064784 s.</x:v>
      </x:c>
    </x:row>
    <x:row r="27">
      <x:c r="A27" s="46" t="n">
        <x:v>24</x:v>
      </x:c>
      <x:c r="B27" s="46" t="str">
        <x:v>N-I-04</x:v>
      </x:c>
      <x:c r="C27" s="46" t="str">
        <x:v>CFG-N-I</x:v>
      </x:c>
      <x:c r="D27" s="46" t="str">
        <x:v>Nominale</x:v>
      </x:c>
      <x:c r="E27" s="46" t="str">
        <x:v>Intermedio</x:v>
      </x:c>
      <x:c r="F27" s="46" t="n">
        <x:v>181081</x:v>
      </x:c>
      <x:c r="G27" s="46" t="n">
        <x:v>4</x:v>
      </x:c>
      <x:c r="H27" s="46" t="str">
        <x:v>PASS</x:v>
      </x:c>
      <x:c r="I27" s="46" t="str">
        <x:v>PASS — validator 0 errori; lag 0 s; violazioni 0</x:v>
      </x:c>
      <x:c r="J27" s="46" t="str">
        <x:v>Nessuno</x:v>
      </x:c>
      <x:c r="K27" s="46" t="str">
        <x:v>log-20260623-013743-MaGaLiteratureBasedUrbanStudy</x:v>
      </x:c>
      <x:c r="L27" s="46" t="str">
        <x:v>LITERATURE_SMOKE_TEST_PASSED</x:v>
      </x:c>
      <x:c r="M27" s="46" t="n">
        <x:v>0</x:v>
      </x:c>
      <x:c r="N27" s="46" t="str">
        <x:v>Task 9413; pending 69; GA 592/592/592; stale 0 (0.000000%); runtime medio 0.061698 s.</x:v>
      </x:c>
    </x:row>
    <x:row r="28">
      <x:c r="A28" s="46" t="n">
        <x:v>25</x:v>
      </x:c>
      <x:c r="B28" s="46" t="str">
        <x:v>N-I-05</x:v>
      </x:c>
      <x:c r="C28" s="46" t="str">
        <x:v>CFG-N-I</x:v>
      </x:c>
      <x:c r="D28" s="46" t="str">
        <x:v>Nominale</x:v>
      </x:c>
      <x:c r="E28" s="46" t="str">
        <x:v>Intermedio</x:v>
      </x:c>
      <x:c r="F28" s="46" t="n">
        <x:v>207547</x:v>
      </x:c>
      <x:c r="G28" s="46" t="n">
        <x:v>5</x:v>
      </x:c>
      <x:c r="H28" s="46" t="str">
        <x:v>PASS</x:v>
      </x:c>
      <x:c r="I28" s="46" t="str">
        <x:v>PASS — validator 0 errori; lag 0 s; violazioni 0</x:v>
      </x:c>
      <x:c r="J28" s="46" t="str">
        <x:v>Nessuno</x:v>
      </x:c>
      <x:c r="K28" s="46" t="str">
        <x:v>log-20260623-013859-MaGaLiteratureBasedUrbanStudy</x:v>
      </x:c>
      <x:c r="L28" s="46" t="str">
        <x:v>LITERATURE_SMOKE_TEST_PASSED</x:v>
      </x:c>
      <x:c r="M28" s="46" t="n">
        <x:v>0</x:v>
      </x:c>
      <x:c r="N28" s="46" t="str">
        <x:v>Task 9005; pending 55; GA 529/529/527; stale 2 (0.378072%); runtime medio 0.066523 s.</x:v>
      </x:c>
    </x:row>
    <x:row r="29">
      <x:c r="A29" s="46" t="n">
        <x:v>26</x:v>
      </x:c>
      <x:c r="B29" s="46" t="str">
        <x:v>N-S-01</x:v>
      </x:c>
      <x:c r="C29" s="46" t="str">
        <x:v>CFG-N-S</x:v>
      </x:c>
      <x:c r="D29" s="46" t="str">
        <x:v>Nominale</x:v>
      </x:c>
      <x:c r="E29" s="46" t="str">
        <x:v>Stress</x:v>
      </x:c>
      <x:c r="F29" s="46" t="n">
        <x:v>104729</x:v>
      </x:c>
      <x:c r="G29" s="46" t="n">
        <x:v>1</x:v>
      </x:c>
      <x:c r="H29" s="46" t="str">
        <x:v>PASS</x:v>
      </x:c>
      <x:c r="I29" s="46" t="str">
        <x:v>PASS — validator 0 errori; lag 0 s; violazioni 0</x:v>
      </x:c>
      <x:c r="J29" s="46" t="str">
        <x:v>Nessun errore tecnico; stale elevato nel profilo stress</x:v>
      </x:c>
      <x:c r="K29" s="46" t="str">
        <x:v>log-20260623-014138-MaGaLiteratureBasedUrbanStudy</x:v>
      </x:c>
      <x:c r="L29" s="46" t="str">
        <x:v>LITERATURE_SMOKE_TEST_PASSED</x:v>
      </x:c>
      <x:c r="M29" s="46" t="n">
        <x:v>0</x:v>
      </x:c>
      <x:c r="N29" s="46" t="str">
        <x:v>Task 9306; pending 101; GA 450/450/399; stale 51 (11.333333%); runtime medio 0.098053 s.</x:v>
      </x:c>
    </x:row>
    <x:row r="30">
      <x:c r="A30" s="46" t="n">
        <x:v>27</x:v>
      </x:c>
      <x:c r="B30" s="46" t="str">
        <x:v>N-S-02</x:v>
      </x:c>
      <x:c r="C30" s="46" t="str">
        <x:v>CFG-N-S</x:v>
      </x:c>
      <x:c r="D30" s="46" t="str">
        <x:v>Nominale</x:v>
      </x:c>
      <x:c r="E30" s="46" t="str">
        <x:v>Stress</x:v>
      </x:c>
      <x:c r="F30" s="46" t="n">
        <x:v>130363</x:v>
      </x:c>
      <x:c r="G30" s="46" t="n">
        <x:v>2</x:v>
      </x:c>
      <x:c r="H30" s="46" t="str">
        <x:v>PASS</x:v>
      </x:c>
      <x:c r="I30" s="46" t="str">
        <x:v>PASS — validator 0 errori; lag 0 s; violazioni 0</x:v>
      </x:c>
      <x:c r="J30" s="46" t="str">
        <x:v>Nessun errore tecnico; stale elevato nel profilo stress</x:v>
      </x:c>
      <x:c r="K30" s="46" t="str">
        <x:v>log-20260623-014310-MaGaLiteratureBasedUrbanStudy</x:v>
      </x:c>
      <x:c r="L30" s="46" t="str">
        <x:v>LITERATURE_SMOKE_TEST_PASSED</x:v>
      </x:c>
      <x:c r="M30" s="46" t="n">
        <x:v>0</x:v>
      </x:c>
      <x:c r="N30" s="46" t="str">
        <x:v>Task 9429; pending 96; GA 432/432/376; stale 56 (12.962963%); runtime medio 0.102481 s.</x:v>
      </x:c>
    </x:row>
    <x:row r="31">
      <x:c r="A31" s="46" t="n">
        <x:v>28</x:v>
      </x:c>
      <x:c r="B31" s="46" t="str">
        <x:v>N-S-03</x:v>
      </x:c>
      <x:c r="C31" s="46" t="str">
        <x:v>CFG-N-S</x:v>
      </x:c>
      <x:c r="D31" s="46" t="str">
        <x:v>Nominale</x:v>
      </x:c>
      <x:c r="E31" s="46" t="str">
        <x:v>Stress</x:v>
      </x:c>
      <x:c r="F31" s="46" t="n">
        <x:v>155921</x:v>
      </x:c>
      <x:c r="G31" s="46" t="n">
        <x:v>3</x:v>
      </x:c>
      <x:c r="H31" s="46" t="str">
        <x:v>PASS</x:v>
      </x:c>
      <x:c r="I31" s="46" t="str">
        <x:v>PASS — validator 0 errori; lag 0 s; violazioni 0</x:v>
      </x:c>
      <x:c r="J31" s="46" t="str">
        <x:v>Nessun errore tecnico; stale elevato nel profilo stress</x:v>
      </x:c>
      <x:c r="K31" s="46" t="str">
        <x:v>log-20260623-014441-MaGaLiteratureBasedUrbanStudy</x:v>
      </x:c>
      <x:c r="L31" s="46" t="str">
        <x:v>LITERATURE_SMOKE_TEST_PASSED</x:v>
      </x:c>
      <x:c r="M31" s="46" t="n">
        <x:v>0</x:v>
      </x:c>
      <x:c r="N31" s="46" t="str">
        <x:v>Task 9322; pending 110; GA 438/438/370; stale 68 (15.525114%); runtime medio 0.106538 s.</x:v>
      </x:c>
    </x:row>
    <x:row r="32">
      <x:c r="A32" s="46" t="n">
        <x:v>29</x:v>
      </x:c>
      <x:c r="B32" s="46" t="str">
        <x:v>N-S-04</x:v>
      </x:c>
      <x:c r="C32" s="46" t="str">
        <x:v>CFG-N-S</x:v>
      </x:c>
      <x:c r="D32" s="46" t="str">
        <x:v>Nominale</x:v>
      </x:c>
      <x:c r="E32" s="46" t="str">
        <x:v>Stress</x:v>
      </x:c>
      <x:c r="F32" s="46" t="n">
        <x:v>181081</x:v>
      </x:c>
      <x:c r="G32" s="46" t="n">
        <x:v>4</x:v>
      </x:c>
      <x:c r="H32" s="46" t="str">
        <x:v>PASS</x:v>
      </x:c>
      <x:c r="I32" s="46" t="str">
        <x:v>PASS — validator 0 errori; lag 0 s; violazioni 0</x:v>
      </x:c>
      <x:c r="J32" s="46" t="str">
        <x:v>Nessun errore tecnico; stale elevato nel profilo stress</x:v>
      </x:c>
      <x:c r="K32" s="46" t="str">
        <x:v>log-20260623-014612-MaGaLiteratureBasedUrbanStudy</x:v>
      </x:c>
      <x:c r="L32" s="46" t="str">
        <x:v>LITERATURE_SMOKE_TEST_PASSED</x:v>
      </x:c>
      <x:c r="M32" s="46" t="n">
        <x:v>0</x:v>
      </x:c>
      <x:c r="N32" s="46" t="str">
        <x:v>Task 9413; pending 114; GA 422/422/378; stale 44 (10.426540%); runtime medio 0.098336 s.</x:v>
      </x:c>
    </x:row>
    <x:row r="33">
      <x:c r="A33" s="46" t="n">
        <x:v>30</x:v>
      </x:c>
      <x:c r="B33" s="46" t="str">
        <x:v>N-S-05</x:v>
      </x:c>
      <x:c r="C33" s="46" t="str">
        <x:v>CFG-N-S</x:v>
      </x:c>
      <x:c r="D33" s="46" t="str">
        <x:v>Nominale</x:v>
      </x:c>
      <x:c r="E33" s="46" t="str">
        <x:v>Stress</x:v>
      </x:c>
      <x:c r="F33" s="46" t="n">
        <x:v>207547</x:v>
      </x:c>
      <x:c r="G33" s="46" t="n">
        <x:v>5</x:v>
      </x:c>
      <x:c r="H33" s="46" t="str">
        <x:v>PASS</x:v>
      </x:c>
      <x:c r="I33" s="46" t="str">
        <x:v>PASS — validator 0 errori; lag 0 s; violazioni 0</x:v>
      </x:c>
      <x:c r="J33" s="46" t="str">
        <x:v>Nessuno</x:v>
      </x:c>
      <x:c r="K33" s="46" t="str">
        <x:v>log-20260623-014728-MaGaLiteratureBasedUrbanStudy</x:v>
      </x:c>
      <x:c r="L33" s="46" t="str">
        <x:v>LITERATURE_SMOKE_TEST_PASSED</x:v>
      </x:c>
      <x:c r="M33" s="46" t="n">
        <x:v>0</x:v>
      </x:c>
      <x:c r="N33" s="46" t="str">
        <x:v>Task 9005; pending 93; GA 435/435/394; stale 41 (9.425287%); runtime medio 0.099668 s.</x:v>
      </x:c>
    </x:row>
    <x:row r="34">
      <x:c r="A34" s="46" t="n">
        <x:v>31</x:v>
      </x:c>
      <x:c r="B34" s="46" t="str">
        <x:v>H-E-01</x:v>
      </x:c>
      <x:c r="C34" s="46" t="str">
        <x:v>CFG-H-E</x:v>
      </x:c>
      <x:c r="D34" s="46" t="str">
        <x:v>Alta / stress</x:v>
      </x:c>
      <x:c r="E34" s="46" t="str">
        <x:v>Elementare</x:v>
      </x:c>
      <x:c r="F34" s="46" t="n">
        <x:v>104729</x:v>
      </x:c>
      <x:c r="G34" s="46" t="n">
        <x:v>1</x:v>
      </x:c>
      <x:c r="H34" s="46" t="str">
        <x:v>PASS</x:v>
      </x:c>
      <x:c r="I34" s="46" t="str">
        <x:v>PASS — validator 0 errori; lag 0 s; violazioni 0</x:v>
      </x:c>
      <x:c r="J34" s="46" t="str">
        <x:v>Nessuno</x:v>
      </x:c>
      <x:c r="K34" s="46" t="str">
        <x:v>log-20260623-015048-MaGaLiteratureBasedUrbanStudy</x:v>
      </x:c>
      <x:c r="L34" s="46" t="str">
        <x:v>LITERATURE_SMOKE_TEST_PASSED</x:v>
      </x:c>
      <x:c r="M34" s="46" t="n">
        <x:v>0</x:v>
      </x:c>
      <x:c r="N34" s="46" t="str">
        <x:v>Task 15117; pending 99; GA 512/512/482; stale 30 (5.859375%); runtime medio 0.072082 s.</x:v>
      </x:c>
    </x:row>
    <x:row r="35">
      <x:c r="A35" s="46" t="n">
        <x:v>32</x:v>
      </x:c>
      <x:c r="B35" s="46" t="str">
        <x:v>H-E-02</x:v>
      </x:c>
      <x:c r="C35" s="46" t="str">
        <x:v>CFG-H-E</x:v>
      </x:c>
      <x:c r="D35" s="46" t="str">
        <x:v>Alta / stress</x:v>
      </x:c>
      <x:c r="E35" s="46" t="str">
        <x:v>Elementare</x:v>
      </x:c>
      <x:c r="F35" s="46" t="n">
        <x:v>130363</x:v>
      </x:c>
      <x:c r="G35" s="46" t="n">
        <x:v>2</x:v>
      </x:c>
      <x:c r="H35" s="46" t="str">
        <x:v>PASS</x:v>
      </x:c>
      <x:c r="I35" s="46" t="str">
        <x:v>PASS — validator 0 errori; lag 0 s; violazioni 0</x:v>
      </x:c>
      <x:c r="J35" s="46" t="str">
        <x:v>Nessuno</x:v>
      </x:c>
      <x:c r="K35" s="46" t="str">
        <x:v>log-20260623-015149-MaGaLiteratureBasedUrbanStudy</x:v>
      </x:c>
      <x:c r="L35" s="46" t="str">
        <x:v>LITERATURE_SMOKE_TEST_PASSED</x:v>
      </x:c>
      <x:c r="M35" s="46" t="n">
        <x:v>0</x:v>
      </x:c>
      <x:c r="N35" s="46" t="str">
        <x:v>Task 15387; pending 89; GA 430/430/407; stale 23 (5.348837%); runtime medio 0.085657 s.</x:v>
      </x:c>
    </x:row>
    <x:row r="36">
      <x:c r="A36" s="46" t="n">
        <x:v>33</x:v>
      </x:c>
      <x:c r="B36" s="46" t="str">
        <x:v>H-E-03</x:v>
      </x:c>
      <x:c r="C36" s="46" t="str">
        <x:v>CFG-H-E</x:v>
      </x:c>
      <x:c r="D36" s="46" t="str">
        <x:v>Alta / stress</x:v>
      </x:c>
      <x:c r="E36" s="46" t="str">
        <x:v>Elementare</x:v>
      </x:c>
      <x:c r="F36" s="46" t="n">
        <x:v>155921</x:v>
      </x:c>
      <x:c r="G36" s="46" t="n">
        <x:v>3</x:v>
      </x:c>
      <x:c r="H36" s="46" t="str">
        <x:v>PASS</x:v>
      </x:c>
      <x:c r="I36" s="46" t="str">
        <x:v>PASS — validator 0 errori; lag 0 s; violazioni 0</x:v>
      </x:c>
      <x:c r="J36" s="46" t="str">
        <x:v>Nessuno</x:v>
      </x:c>
      <x:c r="K36" s="46" t="str">
        <x:v>log-20260623-015250-MaGaLiteratureBasedUrbanStudy</x:v>
      </x:c>
      <x:c r="L36" s="46" t="str">
        <x:v>LITERATURE_SMOKE_TEST_PASSED</x:v>
      </x:c>
      <x:c r="M36" s="46" t="n">
        <x:v>0</x:v>
      </x:c>
      <x:c r="N36" s="46" t="str">
        <x:v>Task 15722; pending 79; GA 522/522/483; stale 39 (7.471264%); runtime medio 0.072350 s.</x:v>
      </x:c>
    </x:row>
    <x:row r="37">
      <x:c r="A37" s="46" t="n">
        <x:v>34</x:v>
      </x:c>
      <x:c r="B37" s="46" t="str">
        <x:v>H-E-04</x:v>
      </x:c>
      <x:c r="C37" s="46" t="str">
        <x:v>CFG-H-E</x:v>
      </x:c>
      <x:c r="D37" s="46" t="str">
        <x:v>Alta / stress</x:v>
      </x:c>
      <x:c r="E37" s="46" t="str">
        <x:v>Elementare</x:v>
      </x:c>
      <x:c r="F37" s="46" t="n">
        <x:v>181081</x:v>
      </x:c>
      <x:c r="G37" s="46" t="n">
        <x:v>4</x:v>
      </x:c>
      <x:c r="H37" s="46" t="str">
        <x:v>PASS</x:v>
      </x:c>
      <x:c r="I37" s="46" t="str">
        <x:v>PASS — validator 0 errori; lag 0 s; violazioni 0</x:v>
      </x:c>
      <x:c r="J37" s="46" t="str">
        <x:v>Nessuno</x:v>
      </x:c>
      <x:c r="K37" s="46" t="str">
        <x:v>log-20260623-015350-MaGaLiteratureBasedUrbanStudy</x:v>
      </x:c>
      <x:c r="L37" s="46" t="str">
        <x:v>LITERATURE_SMOKE_TEST_PASSED</x:v>
      </x:c>
      <x:c r="M37" s="46" t="n">
        <x:v>0</x:v>
      </x:c>
      <x:c r="N37" s="46" t="str">
        <x:v>Task 15011; pending 86; GA 441/441/410; stale 31 (7.029478%); runtime medio 0.080525 s.</x:v>
      </x:c>
    </x:row>
    <x:row r="38">
      <x:c r="A38" s="46" t="n">
        <x:v>35</x:v>
      </x:c>
      <x:c r="B38" s="46" t="str">
        <x:v>H-E-05</x:v>
      </x:c>
      <x:c r="C38" s="46" t="str">
        <x:v>CFG-H-E</x:v>
      </x:c>
      <x:c r="D38" s="46" t="str">
        <x:v>Alta / stress</x:v>
      </x:c>
      <x:c r="E38" s="46" t="str">
        <x:v>Elementare</x:v>
      </x:c>
      <x:c r="F38" s="46" t="n">
        <x:v>207547</x:v>
      </x:c>
      <x:c r="G38" s="46" t="n">
        <x:v>5</x:v>
      </x:c>
      <x:c r="H38" s="46" t="str">
        <x:v>PASS</x:v>
      </x:c>
      <x:c r="I38" s="46" t="str">
        <x:v>PASS — validator 0 errori; lag 0 s; violazioni 0</x:v>
      </x:c>
      <x:c r="J38" s="46" t="str">
        <x:v>Nessuno</x:v>
      </x:c>
      <x:c r="K38" s="46" t="str">
        <x:v>log-20260623-015451-MaGaLiteratureBasedUrbanStudy</x:v>
      </x:c>
      <x:c r="L38" s="46" t="str">
        <x:v>LITERATURE_SMOKE_TEST_PASSED</x:v>
      </x:c>
      <x:c r="M38" s="46" t="n">
        <x:v>0</x:v>
      </x:c>
      <x:c r="N38" s="46" t="str">
        <x:v>Task 15273; pending 82; GA 513/513/484; stale 29 (5.653021%); runtime medio 0.070807 s.</x:v>
      </x:c>
    </x:row>
    <x:row r="39">
      <x:c r="A39" s="46" t="n">
        <x:v>36</x:v>
      </x:c>
      <x:c r="B39" s="46" t="str">
        <x:v>H-I-01</x:v>
      </x:c>
      <x:c r="C39" s="46" t="str">
        <x:v>CFG-H-I</x:v>
      </x:c>
      <x:c r="D39" s="46" t="str">
        <x:v>Alta / stress</x:v>
      </x:c>
      <x:c r="E39" s="46" t="str">
        <x:v>Intermedio</x:v>
      </x:c>
      <x:c r="F39" s="46" t="n">
        <x:v>104729</x:v>
      </x:c>
      <x:c r="G39" s="46" t="n">
        <x:v>1</x:v>
      </x:c>
      <x:c r="H39" s="46" t="str">
        <x:v>PASS</x:v>
      </x:c>
      <x:c r="I39" s="46" t="str">
        <x:v>PASS — validator 0 errori; lag 0 s; violazioni 0</x:v>
      </x:c>
      <x:c r="J39" s="46" t="str">
        <x:v>Nessuno</x:v>
      </x:c>
      <x:c r="K39" s="46" t="str">
        <x:v>log-20260623-015752-MaGaLiteratureBasedUrbanStudy</x:v>
      </x:c>
      <x:c r="L39" s="46" t="str">
        <x:v>LITERATURE_SMOKE_TEST_PASSED</x:v>
      </x:c>
      <x:c r="M39" s="46" t="n">
        <x:v>0</x:v>
      </x:c>
      <x:c r="N39" s="46" t="str">
        <x:v>Task 15117; pending 126; GA 476/476/435; stale 41 (8.613445%); runtime medio 0.084064 s.</x:v>
      </x:c>
    </x:row>
    <x:row r="40">
      <x:c r="A40" s="46" t="n">
        <x:v>37</x:v>
      </x:c>
      <x:c r="B40" s="46" t="str">
        <x:v>H-I-02</x:v>
      </x:c>
      <x:c r="C40" s="46" t="str">
        <x:v>CFG-H-I</x:v>
      </x:c>
      <x:c r="D40" s="46" t="str">
        <x:v>Alta / stress</x:v>
      </x:c>
      <x:c r="E40" s="46" t="str">
        <x:v>Intermedio</x:v>
      </x:c>
      <x:c r="F40" s="46" t="n">
        <x:v>130363</x:v>
      </x:c>
      <x:c r="G40" s="46" t="n">
        <x:v>2</x:v>
      </x:c>
      <x:c r="H40" s="46" t="str">
        <x:v>PASS</x:v>
      </x:c>
      <x:c r="I40" s="46" t="str">
        <x:v>PASS — validator 0 errori; lag 0 s; violazioni 0</x:v>
      </x:c>
      <x:c r="J40" s="46" t="str">
        <x:v>Nessun errore tecnico; stale elevato nel profilo stress</x:v>
      </x:c>
      <x:c r="K40" s="46" t="str">
        <x:v>log-20260623-015908-MaGaLiteratureBasedUrbanStudy</x:v>
      </x:c>
      <x:c r="L40" s="46" t="str">
        <x:v>LITERATURE_SMOKE_TEST_PASSED</x:v>
      </x:c>
      <x:c r="M40" s="46" t="n">
        <x:v>0</x:v>
      </x:c>
      <x:c r="N40" s="46" t="str">
        <x:v>Task 15387; pending 108; GA 383/383/328; stale 55 (14.360313%); runtime medio 0.101919 s.</x:v>
      </x:c>
    </x:row>
    <x:row r="41">
      <x:c r="A41" s="46" t="n">
        <x:v>38</x:v>
      </x:c>
      <x:c r="B41" s="46" t="str">
        <x:v>H-I-03</x:v>
      </x:c>
      <x:c r="C41" s="46" t="str">
        <x:v>CFG-H-I</x:v>
      </x:c>
      <x:c r="D41" s="46" t="str">
        <x:v>Alta / stress</x:v>
      </x:c>
      <x:c r="E41" s="46" t="str">
        <x:v>Intermedio</x:v>
      </x:c>
      <x:c r="F41" s="46" t="n">
        <x:v>155921</x:v>
      </x:c>
      <x:c r="G41" s="46" t="n">
        <x:v>3</x:v>
      </x:c>
      <x:c r="H41" s="46" t="str">
        <x:v>PASS</x:v>
      </x:c>
      <x:c r="I41" s="46" t="str">
        <x:v>PASS — validator 0 errori; lag 0 s; violazioni 0</x:v>
      </x:c>
      <x:c r="J41" s="46" t="str">
        <x:v>Nessun errore tecnico; stale elevato nel profilo stress</x:v>
      </x:c>
      <x:c r="K41" s="46" t="str">
        <x:v>log-20260623-020008-MaGaLiteratureBasedUrbanStudy</x:v>
      </x:c>
      <x:c r="L41" s="46" t="str">
        <x:v>LITERATURE_SMOKE_TEST_PASSED</x:v>
      </x:c>
      <x:c r="M41" s="46" t="n">
        <x:v>0</x:v>
      </x:c>
      <x:c r="N41" s="46" t="str">
        <x:v>Task 15722; pending 98; GA 421/421/366; stale 55 (13.064133%); runtime medio 0.094561 s.</x:v>
      </x:c>
    </x:row>
    <x:row r="42">
      <x:c r="A42" s="46" t="n">
        <x:v>39</x:v>
      </x:c>
      <x:c r="B42" s="46" t="str">
        <x:v>H-I-04</x:v>
      </x:c>
      <x:c r="C42" s="46" t="str">
        <x:v>CFG-H-I</x:v>
      </x:c>
      <x:c r="D42" s="46" t="str">
        <x:v>Alta / stress</x:v>
      </x:c>
      <x:c r="E42" s="46" t="str">
        <x:v>Intermedio</x:v>
      </x:c>
      <x:c r="F42" s="46" t="n">
        <x:v>181081</x:v>
      </x:c>
      <x:c r="G42" s="46" t="n">
        <x:v>4</x:v>
      </x:c>
      <x:c r="H42" s="46" t="str">
        <x:v>PASS</x:v>
      </x:c>
      <x:c r="I42" s="46" t="str">
        <x:v>PASS — validator 0 errori; lag 0 s; violazioni 0</x:v>
      </x:c>
      <x:c r="J42" s="46" t="str">
        <x:v>Nessun errore tecnico; stale elevato nel profilo stress</x:v>
      </x:c>
      <x:c r="K42" s="46" t="str">
        <x:v>log-20260623-020124-MaGaLiteratureBasedUrbanStudy</x:v>
      </x:c>
      <x:c r="L42" s="46" t="str">
        <x:v>LITERATURE_SMOKE_TEST_PASSED</x:v>
      </x:c>
      <x:c r="M42" s="46" t="n">
        <x:v>0</x:v>
      </x:c>
      <x:c r="N42" s="46" t="str">
        <x:v>Task 15011; pending 111; GA 402/402/347; stale 55 (13.681592%); runtime medio 0.101218 s.</x:v>
      </x:c>
    </x:row>
    <x:row r="43">
      <x:c r="A43" s="46" t="n">
        <x:v>40</x:v>
      </x:c>
      <x:c r="B43" s="46" t="str">
        <x:v>H-I-05</x:v>
      </x:c>
      <x:c r="C43" s="46" t="str">
        <x:v>CFG-H-I</x:v>
      </x:c>
      <x:c r="D43" s="46" t="str">
        <x:v>Alta / stress</x:v>
      </x:c>
      <x:c r="E43" s="46" t="str">
        <x:v>Intermedio</x:v>
      </x:c>
      <x:c r="F43" s="46" t="n">
        <x:v>207547</x:v>
      </x:c>
      <x:c r="G43" s="46" t="n">
        <x:v>5</x:v>
      </x:c>
      <x:c r="H43" s="46" t="str">
        <x:v>PASS</x:v>
      </x:c>
      <x:c r="I43" s="46" t="str">
        <x:v>PASS — validator 0 errori; lag 0 s; violazioni 0</x:v>
      </x:c>
      <x:c r="J43" s="46" t="str">
        <x:v>Nessun errore tecnico; stale elevato nel profilo stress</x:v>
      </x:c>
      <x:c r="K43" s="46" t="str">
        <x:v>log-20260623-020239-MaGaLiteratureBasedUrbanStudy</x:v>
      </x:c>
      <x:c r="L43" s="46" t="str">
        <x:v>LITERATURE_SMOKE_TEST_PASSED</x:v>
      </x:c>
      <x:c r="M43" s="46" t="n">
        <x:v>0</x:v>
      </x:c>
      <x:c r="N43" s="46" t="str">
        <x:v>Task 15273; pending 102; GA 419/419/358; stale 61 (14.558473%); runtime medio 0.095727 s.</x:v>
      </x:c>
    </x:row>
    <x:row r="44">
      <x:c r="A44" s="46" t="n">
        <x:v>41</x:v>
      </x:c>
      <x:c r="B44" s="46" t="str">
        <x:v>H-S-01</x:v>
      </x:c>
      <x:c r="C44" s="46" t="str">
        <x:v>CFG-H-S</x:v>
      </x:c>
      <x:c r="D44" s="46" t="str">
        <x:v>Alta / stress</x:v>
      </x:c>
      <x:c r="E44" s="46" t="str">
        <x:v>Stress</x:v>
      </x:c>
      <x:c r="F44" s="46" t="n">
        <x:v>104729</x:v>
      </x:c>
      <x:c r="G44" s="46" t="n">
        <x:v>1</x:v>
      </x:c>
      <x:c r="H44" s="46" t="str">
        <x:v>PASS</x:v>
      </x:c>
      <x:c r="I44" s="46" t="str">
        <x:v>PASS — validator 0 errori; lag 0 s; violazioni 0</x:v>
      </x:c>
      <x:c r="J44" s="46" t="str">
        <x:v>Nessun errore tecnico; stale elevato nel profilo stress</x:v>
      </x:c>
      <x:c r="K44" s="46" t="str">
        <x:v>log-20260623-020452-MaGaLiteratureBasedUrbanStudy</x:v>
      </x:c>
      <x:c r="L44" s="46" t="str">
        <x:v>LITERATURE_SMOKE_TEST_PASSED</x:v>
      </x:c>
      <x:c r="M44" s="46" t="n">
        <x:v>0</x:v>
      </x:c>
      <x:c r="N44" s="46" t="str">
        <x:v>Task 15117; pending 189; GA 336/336/256; stale 80 (23.809524%); runtime medio 0.140007 s.</x:v>
      </x:c>
    </x:row>
    <x:row r="45">
      <x:c r="A45" s="46" t="n">
        <x:v>42</x:v>
      </x:c>
      <x:c r="B45" s="46" t="str">
        <x:v>H-S-02</x:v>
      </x:c>
      <x:c r="C45" s="46" t="str">
        <x:v>CFG-H-S</x:v>
      </x:c>
      <x:c r="D45" s="46" t="str">
        <x:v>Alta / stress</x:v>
      </x:c>
      <x:c r="E45" s="46" t="str">
        <x:v>Stress</x:v>
      </x:c>
      <x:c r="F45" s="46" t="n">
        <x:v>130363</x:v>
      </x:c>
      <x:c r="G45" s="46" t="n">
        <x:v>2</x:v>
      </x:c>
      <x:c r="H45" s="46" t="str">
        <x:v>PASS</x:v>
      </x:c>
      <x:c r="I45" s="46" t="str">
        <x:v>PASS — validator 0 errori; lag 0 s; violazioni 0</x:v>
      </x:c>
      <x:c r="J45" s="46" t="str">
        <x:v>Nessun errore tecnico; stale elevato nel profilo stress</x:v>
      </x:c>
      <x:c r="K45" s="46" t="str">
        <x:v>log-20260623-020607-MaGaLiteratureBasedUrbanStudy</x:v>
      </x:c>
      <x:c r="L45" s="46" t="str">
        <x:v>LITERATURE_SMOKE_TEST_PASSED</x:v>
      </x:c>
      <x:c r="M45" s="46" t="n">
        <x:v>0</x:v>
      </x:c>
      <x:c r="N45" s="46" t="str">
        <x:v>Task 15387; pending 177; GA 320/320/243; stale 77 (24.062500%); runtime medio 0.144421 s.</x:v>
      </x:c>
    </x:row>
    <x:row r="46">
      <x:c r="A46" s="46" t="n">
        <x:v>43</x:v>
      </x:c>
      <x:c r="B46" s="46" t="str">
        <x:v>H-S-03</x:v>
      </x:c>
      <x:c r="C46" s="46" t="str">
        <x:v>CFG-H-S</x:v>
      </x:c>
      <x:c r="D46" s="46" t="str">
        <x:v>Alta / stress</x:v>
      </x:c>
      <x:c r="E46" s="46" t="str">
        <x:v>Stress</x:v>
      </x:c>
      <x:c r="F46" s="46" t="n">
        <x:v>155921</x:v>
      </x:c>
      <x:c r="G46" s="46" t="n">
        <x:v>3</x:v>
      </x:c>
      <x:c r="H46" s="46" t="str">
        <x:v>PASS</x:v>
      </x:c>
      <x:c r="I46" s="46" t="str">
        <x:v>PASS — validator 0 errori; lag 0 s; violazioni 0</x:v>
      </x:c>
      <x:c r="J46" s="46" t="str">
        <x:v>Nessun errore tecnico; stale elevato nel profilo stress</x:v>
      </x:c>
      <x:c r="K46" s="46" t="str">
        <x:v>log-20260623-020722-MaGaLiteratureBasedUrbanStudy</x:v>
      </x:c>
      <x:c r="L46" s="46" t="str">
        <x:v>LITERATURE_SMOKE_TEST_PASSED</x:v>
      </x:c>
      <x:c r="M46" s="46" t="n">
        <x:v>0</x:v>
      </x:c>
      <x:c r="N46" s="46" t="str">
        <x:v>Task 15722; pending 168; GA 337/337/263; stale 74 (21.958457%); runtime medio 0.139321 s.</x:v>
      </x:c>
    </x:row>
    <x:row r="47">
      <x:c r="A47" s="46" t="n">
        <x:v>44</x:v>
      </x:c>
      <x:c r="B47" s="46" t="str">
        <x:v>H-S-04</x:v>
      </x:c>
      <x:c r="C47" s="46" t="str">
        <x:v>CFG-H-S</x:v>
      </x:c>
      <x:c r="D47" s="46" t="str">
        <x:v>Alta / stress</x:v>
      </x:c>
      <x:c r="E47" s="46" t="str">
        <x:v>Stress</x:v>
      </x:c>
      <x:c r="F47" s="46" t="n">
        <x:v>181081</x:v>
      </x:c>
      <x:c r="G47" s="46" t="n">
        <x:v>4</x:v>
      </x:c>
      <x:c r="H47" s="46" t="str">
        <x:v>PASS</x:v>
      </x:c>
      <x:c r="I47" s="46" t="str">
        <x:v>PASS — validator 0 errori; lag 0 s; violazioni 0</x:v>
      </x:c>
      <x:c r="J47" s="46" t="str">
        <x:v>Nessun errore tecnico; stale elevato nel profilo stress</x:v>
      </x:c>
      <x:c r="K47" s="46" t="str">
        <x:v>log-20260623-020838-MaGaLiteratureBasedUrbanStudy</x:v>
      </x:c>
      <x:c r="L47" s="46" t="str">
        <x:v>LITERATURE_SMOKE_TEST_PASSED</x:v>
      </x:c>
      <x:c r="M47" s="46" t="n">
        <x:v>0</x:v>
      </x:c>
      <x:c r="N47" s="46" t="str">
        <x:v>Task 15011; pending 181; GA 342/342/264; stale 78 (22.807018%); runtime medio 0.132658 s.</x:v>
      </x:c>
    </x:row>
    <x:row r="48">
      <x:c r="A48" s="46" t="n">
        <x:v>45</x:v>
      </x:c>
      <x:c r="B48" s="46" t="str">
        <x:v>H-S-05</x:v>
      </x:c>
      <x:c r="C48" s="46" t="str">
        <x:v>CFG-H-S</x:v>
      </x:c>
      <x:c r="D48" s="46" t="str">
        <x:v>Alta / stress</x:v>
      </x:c>
      <x:c r="E48" s="46" t="str">
        <x:v>Stress</x:v>
      </x:c>
      <x:c r="F48" s="46" t="n">
        <x:v>207547</x:v>
      </x:c>
      <x:c r="G48" s="46" t="n">
        <x:v>5</x:v>
      </x:c>
      <x:c r="H48" s="46" t="str">
        <x:v>PASS</x:v>
      </x:c>
      <x:c r="I48" s="46" t="str">
        <x:v>PASS — validator 0 errori; lag 0 s; violazioni 0</x:v>
      </x:c>
      <x:c r="J48" s="46" t="str">
        <x:v>Nessun errore tecnico; stale elevato nel profilo stress</x:v>
      </x:c>
      <x:c r="K48" s="46" t="str">
        <x:v>log-20260623-020954-MaGaLiteratureBasedUrbanStudy</x:v>
      </x:c>
      <x:c r="L48" s="46" t="str">
        <x:v>LITERATURE_SMOKE_TEST_PASSED</x:v>
      </x:c>
      <x:c r="M48" s="46" t="n">
        <x:v>0</x:v>
      </x:c>
      <x:c r="N48" s="46" t="str">
        <x:v>Task 15273; pending 179; GA 335/335/259; stale 76 (22.686567%); runtime medio 0.134661 s.</x:v>
      </x:c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N1"/>
    <x:mergeCell ref="A2:N2"/>
  </x:mergeCells>
  <x:conditionalFormatting sqref="H4:H48">
    <x:cfRule type="expression" dxfId="0" priority="1">
      <x:formula>H4="PASS"</x:formula>
    </x:cfRule>
    <x:cfRule type="expression" dxfId="1" priority="2">
      <x:formula>H4="PASS_CON_LIMITAZIONE"</x:formula>
    </x:cfRule>
    <x:cfRule type="expression" dxfId="2" priority="3">
      <x:formula>H4="EVIDENZA_PARZIALE"</x:formula>
    </x:cfRule>
    <x:cfRule type="expression" dxfId="3" priority="4">
      <x:formula>H4="NON_DISPONIBILE"</x:formula>
    </x:cfRule>
    <x:cfRule type="expression" dxfId="4" priority="5">
      <x:formula>H4="DA_ESEGUIRE"</x:formula>
    </x:cfRule>
  </x:conditionalFormatting>
  <x:dataValidations count="1">
    <x:dataValidation type="list" sqref="H4:H48">
      <x:formula1>"DA_ESEGUIRE,PASS,PASS_CON_LIMITAZIONE,EVIDENZA_PARZIALE,NON_DISPONIBILE"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dfdf7f0d224a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22" hidden="0" customWidth="1"/>
    <x:col min="5" max="5" width="1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40" hidden="0" customWidth="1"/>
  </x:cols>
  <x:sheetData>
    <x:row r="1">
      <x:c r="A1" s="58" t="str">
        <x:v>Riepilogo G02–G06 e pianificazione audit residui/G02B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41"/>
      <x:c r="L1" s="41"/>
      <x:c r="M1" s="41"/>
      <x:c r="N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3" t="str">
        <x:v>Configurazione</x:v>
      </x:c>
      <x:c r="B3" s="43" t="str">
        <x:v>Densità</x:v>
      </x:c>
      <x:c r="C3" s="43" t="str">
        <x:v>Profilo task</x:v>
      </x:c>
      <x:c r="D3" s="43" t="str">
        <x:v>Run previste</x:v>
      </x:c>
      <x:c r="E3" s="43" t="str">
        <x:v>Completate</x:v>
      </x:c>
      <x:c r="F3" s="43" t="str">
        <x:v>PASS</x:v>
      </x:c>
      <x:c r="G3" s="43" t="str">
        <x:v>Con problemi</x:v>
      </x:c>
      <x:c r="H3" s="43" t="str">
        <x:v>Avanzamento</x:v>
      </x:c>
      <x:c r="I3" s="43" t="str">
        <x:v>Ruolo</x:v>
      </x:c>
      <x:c r="J3" s="43" t="str">
        <x:v>Nota</x:v>
      </x:c>
      <x:c r="K3" s="41"/>
      <x:c r="L3" s="41"/>
      <x:c r="M3" s="41"/>
      <x:c r="N3" s="41"/>
    </x:row>
    <x:row r="4">
      <x:c r="A4" s="46" t="str">
        <x:v>CFG-L-E</x:v>
      </x:c>
      <x:c r="B4" s="46" t="str">
        <x:v>Bassa</x:v>
      </x:c>
      <x:c r="C4" s="46" t="str">
        <x:v>Elementare</x:v>
      </x:c>
      <x:c r="D4" s="46" t="n">
        <x:v>5</x:v>
      </x:c>
      <x:c r="E4" s="46" t="n">
        <x:f>COUNTIFS('01_Run_G02'!$C$4:$C$48,A4,'01_Run_G02'!$H$4:$H$48,"&lt;&gt;DA_ESEGUIRE")</x:f>
        <x:v>5</x:v>
      </x:c>
      <x:c r="F4" s="46" t="n">
        <x:f>COUNTIFS('01_Run_G02'!$C$4:$C$48,A4,'01_Run_G02'!$H$4:$H$48,"PASS")</x:f>
        <x:v>5</x:v>
      </x:c>
      <x:c r="G4" s="46" t="n">
        <x:f>COUNTIFS('01_Run_G02'!$C$4:$C$48,A4,'01_Run_G02'!$H$4:$H$48,"PASS_CON_LIMITAZIONE")+COUNTIFS('01_Run_G02'!$C$4:$C$48,A4,'01_Run_G02'!$H$4:$H$48,"EVIDENZA_PARZIALE")+COUNTIFS('01_Run_G02'!$C$4:$C$48,A4,'01_Run_G02'!$H$4:$H$48,"NON_DISPONIBILE")</x:f>
        <x:v>0</x:v>
      </x:c>
      <x:c r="H4" s="60" t="n">
        <x:f>E4/D4</x:f>
        <x:v>1</x:v>
      </x:c>
      <x:c r="I4" s="46" t="str">
        <x:v>Ingresso campagna</x:v>
      </x:c>
      <x:c r="J4" s="46" t="str">
        <x:v>5/5 PASS; task 27498; stale 8 (0.219% medio); runtime medio 0.0268 s; lag 0 s; violazioni 0.</x:v>
      </x:c>
      <x:c r="K4" s="41"/>
      <x:c r="L4" s="41"/>
      <x:c r="M4" s="41"/>
      <x:c r="N4" s="41"/>
    </x:row>
    <x:row r="5">
      <x:c r="A5" s="46" t="str">
        <x:v>CFG-L-I</x:v>
      </x:c>
      <x:c r="B5" s="46" t="str">
        <x:v>Bassa</x:v>
      </x:c>
      <x:c r="C5" s="46" t="str">
        <x:v>Intermedio</x:v>
      </x:c>
      <x:c r="D5" s="46" t="n">
        <x:v>5</x:v>
      </x:c>
      <x:c r="E5" s="46" t="n">
        <x:f>COUNTIFS('01_Run_G02'!$C$4:$C$48,A5,'01_Run_G02'!$H$4:$H$48,"&lt;&gt;DA_ESEGUIRE")</x:f>
        <x:v>5</x:v>
      </x:c>
      <x:c r="F5" s="46" t="n">
        <x:f>COUNTIFS('01_Run_G02'!$C$4:$C$48,A5,'01_Run_G02'!$H$4:$H$48,"PASS")</x:f>
        <x:v>5</x:v>
      </x:c>
      <x:c r="G5" s="46" t="n">
        <x:f>COUNTIFS('01_Run_G02'!$C$4:$C$48,A5,'01_Run_G02'!$H$4:$H$48,"PASS_CON_LIMITAZIONE")+COUNTIFS('01_Run_G02'!$C$4:$C$48,A5,'01_Run_G02'!$H$4:$H$48,"EVIDENZA_PARZIALE")+COUNTIFS('01_Run_G02'!$C$4:$C$48,A5,'01_Run_G02'!$H$4:$H$48,"NON_DISPONIBILE")</x:f>
        <x:v>0</x:v>
      </x:c>
      <x:c r="H5" s="60" t="n">
        <x:f>E5/D5</x:f>
        <x:v>1</x:v>
      </x:c>
      <x:c r="I5" s="46" t="str">
        <x:v>Confronto workload</x:v>
      </x:c>
      <x:c r="J5" s="46" t="str">
        <x:v>5/5 PASS; task 27498; stale 6 (0.170% medio); runtime medio 0.0296 s; lag 0 s; violazioni 0.</x:v>
      </x:c>
      <x:c r="K5" s="41"/>
      <x:c r="L5" s="41"/>
      <x:c r="M5" s="41"/>
      <x:c r="N5" s="41"/>
    </x:row>
    <x:row r="6">
      <x:c r="A6" s="46" t="str">
        <x:v>CFG-L-S</x:v>
      </x:c>
      <x:c r="B6" s="46" t="str">
        <x:v>Bassa</x:v>
      </x:c>
      <x:c r="C6" s="46" t="str">
        <x:v>Stress</x:v>
      </x:c>
      <x:c r="D6" s="46" t="n">
        <x:v>5</x:v>
      </x:c>
      <x:c r="E6" s="46" t="n">
        <x:f>COUNTIFS('01_Run_G02'!$C$4:$C$48,A6,'01_Run_G02'!$H$4:$H$48,"&lt;&gt;DA_ESEGUIRE")</x:f>
        <x:v>5</x:v>
      </x:c>
      <x:c r="F6" s="46" t="n">
        <x:f>COUNTIFS('01_Run_G02'!$C$4:$C$48,A6,'01_Run_G02'!$H$4:$H$48,"PASS")</x:f>
        <x:v>5</x:v>
      </x:c>
      <x:c r="G6" s="46" t="n">
        <x:f>COUNTIFS('01_Run_G02'!$C$4:$C$48,A6,'01_Run_G02'!$H$4:$H$48,"PASS_CON_LIMITAZIONE")+COUNTIFS('01_Run_G02'!$C$4:$C$48,A6,'01_Run_G02'!$H$4:$H$48,"EVIDENZA_PARZIALE")+COUNTIFS('01_Run_G02'!$C$4:$C$48,A6,'01_Run_G02'!$H$4:$H$48,"NON_DISPONIBILE")</x:f>
        <x:v>0</x:v>
      </x:c>
      <x:c r="H6" s="60" t="n">
        <x:f>E6/D6</x:f>
        <x:v>1</x:v>
      </x:c>
      <x:c r="I6" s="46" t="str">
        <x:v>Stress applicativo</x:v>
      </x:c>
      <x:c r="J6" s="46" t="str">
        <x:v>5/5 PASS; task 27498; stale 1 (0.034% medio); runtime medio 0.0408 s; lag 0 s; violazioni 0.</x:v>
      </x:c>
      <x:c r="K6" s="41"/>
      <x:c r="L6" s="41"/>
      <x:c r="M6" s="41"/>
      <x:c r="N6" s="41"/>
    </x:row>
    <x:row r="7">
      <x:c r="A7" s="46" t="str">
        <x:v>CFG-N-E</x:v>
      </x:c>
      <x:c r="B7" s="46" t="str">
        <x:v>Nominale</x:v>
      </x:c>
      <x:c r="C7" s="46" t="str">
        <x:v>Elementare</x:v>
      </x:c>
      <x:c r="D7" s="46" t="n">
        <x:v>5</x:v>
      </x:c>
      <x:c r="E7" s="46" t="n">
        <x:f>COUNTIFS('01_Run_G02'!$C$4:$C$48,A7,'01_Run_G02'!$H$4:$H$48,"&lt;&gt;DA_ESEGUIRE")</x:f>
        <x:v>5</x:v>
      </x:c>
      <x:c r="F7" s="46" t="n">
        <x:f>COUNTIFS('01_Run_G02'!$C$4:$C$48,A7,'01_Run_G02'!$H$4:$H$48,"PASS")</x:f>
        <x:v>5</x:v>
      </x:c>
      <x:c r="G7" s="46" t="n">
        <x:f>COUNTIFS('01_Run_G02'!$C$4:$C$48,A7,'01_Run_G02'!$H$4:$H$48,"PASS_CON_LIMITAZIONE")+COUNTIFS('01_Run_G02'!$C$4:$C$48,A7,'01_Run_G02'!$H$4:$H$48,"EVIDENZA_PARZIALE")+COUNTIFS('01_Run_G02'!$C$4:$C$48,A7,'01_Run_G02'!$H$4:$H$48,"NON_DISPONIBILE")</x:f>
        <x:v>0</x:v>
      </x:c>
      <x:c r="H7" s="60" t="n">
        <x:f>E7/D7</x:f>
        <x:v>1</x:v>
      </x:c>
      <x:c r="I7" s="46" t="str">
        <x:v>Confronto workload</x:v>
      </x:c>
      <x:c r="J7" s="46" t="str">
        <x:v>5/5 PASS; task 46475; stale 7 (0.245% medio); runtime medio 0.0569 s; lag 0 s; violazioni 0.</x:v>
      </x:c>
      <x:c r="K7" s="41"/>
      <x:c r="L7" s="41"/>
      <x:c r="M7" s="41"/>
      <x:c r="N7" s="41"/>
    </x:row>
    <x:row r="8">
      <x:c r="A8" s="46" t="str">
        <x:v>CFG-N-I</x:v>
      </x:c>
      <x:c r="B8" s="46" t="str">
        <x:v>Nominale</x:v>
      </x:c>
      <x:c r="C8" s="46" t="str">
        <x:v>Intermedio</x:v>
      </x:c>
      <x:c r="D8" s="46" t="n">
        <x:v>5</x:v>
      </x:c>
      <x:c r="E8" s="46" t="n">
        <x:f>COUNTIFS('01_Run_G02'!$C$4:$C$48,A8,'01_Run_G02'!$H$4:$H$48,"&lt;&gt;DA_ESEGUIRE")</x:f>
        <x:v>5</x:v>
      </x:c>
      <x:c r="F8" s="46" t="n">
        <x:f>COUNTIFS('01_Run_G02'!$C$4:$C$48,A8,'01_Run_G02'!$H$4:$H$48,"PASS")</x:f>
        <x:v>5</x:v>
      </x:c>
      <x:c r="G8" s="46" t="n">
        <x:f>COUNTIFS('01_Run_G02'!$C$4:$C$48,A8,'01_Run_G02'!$H$4:$H$48,"PASS_CON_LIMITAZIONE")+COUNTIFS('01_Run_G02'!$C$4:$C$48,A8,'01_Run_G02'!$H$4:$H$48,"EVIDENZA_PARZIALE")+COUNTIFS('01_Run_G02'!$C$4:$C$48,A8,'01_Run_G02'!$H$4:$H$48,"NON_DISPONIBILE")</x:f>
        <x:v>0</x:v>
      </x:c>
      <x:c r="H8" s="60" t="n">
        <x:f>E8/D8</x:f>
        <x:v>1</x:v>
      </x:c>
      <x:c r="I8" s="46" t="str">
        <x:v>Baseline centrale</x:v>
      </x:c>
      <x:c r="J8" s="46" t="str">
        <x:v>5/5 PASS; task 46475; stale 11 (0.405% medio); runtime medio 0.0656 s; lag 0 s; violazioni 0.</x:v>
      </x:c>
      <x:c r="K8" s="41"/>
      <x:c r="L8" s="41"/>
      <x:c r="M8" s="41"/>
      <x:c r="N8" s="41"/>
    </x:row>
    <x:row r="9">
      <x:c r="A9" s="46" t="str">
        <x:v>CFG-N-S</x:v>
      </x:c>
      <x:c r="B9" s="46" t="str">
        <x:v>Nominale</x:v>
      </x:c>
      <x:c r="C9" s="46" t="str">
        <x:v>Stress</x:v>
      </x:c>
      <x:c r="D9" s="46" t="n">
        <x:v>5</x:v>
      </x:c>
      <x:c r="E9" s="46" t="n">
        <x:f>COUNTIFS('01_Run_G02'!$C$4:$C$48,A9,'01_Run_G02'!$H$4:$H$48,"&lt;&gt;DA_ESEGUIRE")</x:f>
        <x:v>5</x:v>
      </x:c>
      <x:c r="F9" s="46" t="n">
        <x:f>COUNTIFS('01_Run_G02'!$C$4:$C$48,A9,'01_Run_G02'!$H$4:$H$48,"PASS")</x:f>
        <x:v>5</x:v>
      </x:c>
      <x:c r="G9" s="46" t="n">
        <x:f>COUNTIFS('01_Run_G02'!$C$4:$C$48,A9,'01_Run_G02'!$H$4:$H$48,"PASS_CON_LIMITAZIONE")+COUNTIFS('01_Run_G02'!$C$4:$C$48,A9,'01_Run_G02'!$H$4:$H$48,"EVIDENZA_PARZIALE")+COUNTIFS('01_Run_G02'!$C$4:$C$48,A9,'01_Run_G02'!$H$4:$H$48,"NON_DISPONIBILE")</x:f>
        <x:v>0</x:v>
      </x:c>
      <x:c r="H9" s="60" t="n">
        <x:f>E9/D9</x:f>
        <x:v>1</x:v>
      </x:c>
      <x:c r="I9" s="46" t="str">
        <x:v>Stress applicativo</x:v>
      </x:c>
      <x:c r="J9" s="46" t="str">
        <x:v>5/5 PASS; task 46475; stale 260 (11.935% medio); runtime medio 0.1010 s; lag 0 s; violazioni 0. Stale elevato sotto carico da discutere nei risultati.</x:v>
      </x:c>
      <x:c r="K9" s="41"/>
      <x:c r="L9" s="41"/>
      <x:c r="M9" s="41"/>
      <x:c r="N9" s="41"/>
    </x:row>
    <x:row r="10">
      <x:c r="A10" s="46" t="str">
        <x:v>CFG-H-E</x:v>
      </x:c>
      <x:c r="B10" s="46" t="str">
        <x:v>Alta / stress</x:v>
      </x:c>
      <x:c r="C10" s="46" t="str">
        <x:v>Elementare</x:v>
      </x:c>
      <x:c r="D10" s="46" t="n">
        <x:v>5</x:v>
      </x:c>
      <x:c r="E10" s="46" t="n">
        <x:f>COUNTIFS('01_Run_G02'!$C$4:$C$48,A10,'01_Run_G02'!$H$4:$H$48,"&lt;&gt;DA_ESEGUIRE")</x:f>
        <x:v>5</x:v>
      </x:c>
      <x:c r="F10" s="46" t="n">
        <x:f>COUNTIFS('01_Run_G02'!$C$4:$C$48,A10,'01_Run_G02'!$H$4:$H$48,"PASS")</x:f>
        <x:v>5</x:v>
      </x:c>
      <x:c r="G10" s="46" t="n">
        <x:f>COUNTIFS('01_Run_G02'!$C$4:$C$48,A10,'01_Run_G02'!$H$4:$H$48,"PASS_CON_LIMITAZIONE")+COUNTIFS('01_Run_G02'!$C$4:$C$48,A10,'01_Run_G02'!$H$4:$H$48,"EVIDENZA_PARZIALE")+COUNTIFS('01_Run_G02'!$C$4:$C$48,A10,'01_Run_G02'!$H$4:$H$48,"NON_DISPONIBILE")</x:f>
        <x:v>0</x:v>
      </x:c>
      <x:c r="H10" s="60" t="n">
        <x:f>E10/D10</x:f>
        <x:v>1</x:v>
      </x:c>
      <x:c r="I10" s="46" t="str">
        <x:v>Stress densità</x:v>
      </x:c>
      <x:c r="J10" s="46" t="str">
        <x:v>5/5 PASS; task 76510; stale 152 (6.272% medio); runtime medio 0.0763 s; lag 0 s; violazioni 0.</x:v>
      </x:c>
      <x:c r="K10" s="41"/>
      <x:c r="L10" s="41"/>
      <x:c r="M10" s="41"/>
      <x:c r="N10" s="41"/>
    </x:row>
    <x:row r="11">
      <x:c r="A11" s="46" t="str">
        <x:v>CFG-H-I</x:v>
      </x:c>
      <x:c r="B11" s="46" t="str">
        <x:v>Alta / stress</x:v>
      </x:c>
      <x:c r="C11" s="46" t="str">
        <x:v>Intermedio</x:v>
      </x:c>
      <x:c r="D11" s="46" t="n">
        <x:v>5</x:v>
      </x:c>
      <x:c r="E11" s="46" t="n">
        <x:f>COUNTIFS('01_Run_G02'!$C$4:$C$48,A11,'01_Run_G02'!$H$4:$H$48,"&lt;&gt;DA_ESEGUIRE")</x:f>
        <x:v>5</x:v>
      </x:c>
      <x:c r="F11" s="46" t="n">
        <x:f>COUNTIFS('01_Run_G02'!$C$4:$C$48,A11,'01_Run_G02'!$H$4:$H$48,"PASS")</x:f>
        <x:v>5</x:v>
      </x:c>
      <x:c r="G11" s="46" t="n">
        <x:f>COUNTIFS('01_Run_G02'!$C$4:$C$48,A11,'01_Run_G02'!$H$4:$H$48,"PASS_CON_LIMITAZIONE")+COUNTIFS('01_Run_G02'!$C$4:$C$48,A11,'01_Run_G02'!$H$4:$H$48,"EVIDENZA_PARZIALE")+COUNTIFS('01_Run_G02'!$C$4:$C$48,A11,'01_Run_G02'!$H$4:$H$48,"NON_DISPONIBILE")</x:f>
        <x:v>0</x:v>
      </x:c>
      <x:c r="H11" s="60" t="n">
        <x:f>E11/D11</x:f>
        <x:v>1</x:v>
      </x:c>
      <x:c r="I11" s="46" t="str">
        <x:v>Stress densità</x:v>
      </x:c>
      <x:c r="J11" s="46" t="str">
        <x:v>5/5 PASS; task 76510; stale 267 (12.856% medio); runtime medio 0.0955 s; lag 0 s; violazioni 0. Stale elevato sotto carico da discutere nei risultati.</x:v>
      </x:c>
      <x:c r="K11" s="41"/>
      <x:c r="L11" s="41"/>
      <x:c r="M11" s="41"/>
      <x:c r="N11" s="41"/>
    </x:row>
    <x:row r="12">
      <x:c r="A12" s="46" t="str">
        <x:v>CFG-H-S</x:v>
      </x:c>
      <x:c r="B12" s="46" t="str">
        <x:v>Alta / stress</x:v>
      </x:c>
      <x:c r="C12" s="46" t="str">
        <x:v>Stress</x:v>
      </x:c>
      <x:c r="D12" s="46" t="n">
        <x:v>5</x:v>
      </x:c>
      <x:c r="E12" s="46" t="n">
        <x:f>COUNTIFS('01_Run_G02'!$C$4:$C$48,A12,'01_Run_G02'!$H$4:$H$48,"&lt;&gt;DA_ESEGUIRE")</x:f>
        <x:v>5</x:v>
      </x:c>
      <x:c r="F12" s="46" t="n">
        <x:f>COUNTIFS('01_Run_G02'!$C$4:$C$48,A12,'01_Run_G02'!$H$4:$H$48,"PASS")</x:f>
        <x:v>5</x:v>
      </x:c>
      <x:c r="G12" s="46" t="n">
        <x:f>COUNTIFS('01_Run_G02'!$C$4:$C$48,A12,'01_Run_G02'!$H$4:$H$48,"PASS_CON_LIMITAZIONE")+COUNTIFS('01_Run_G02'!$C$4:$C$48,A12,'01_Run_G02'!$H$4:$H$48,"EVIDENZA_PARZIALE")+COUNTIFS('01_Run_G02'!$C$4:$C$48,A12,'01_Run_G02'!$H$4:$H$48,"NON_DISPONIBILE")</x:f>
        <x:v>0</x:v>
      </x:c>
      <x:c r="H12" s="60" t="n">
        <x:f>E12/D12</x:f>
        <x:v>1</x:v>
      </x:c>
      <x:c r="I12" s="46" t="str">
        <x:v>Stress combinato massimo</x:v>
      </x:c>
      <x:c r="J12" s="46" t="str">
        <x:v>5/5 PASS; task 76510; stale 385 (23.065% medio); runtime medio 0.1382 s; lag 0 s; violazioni 0. Stale elevato sotto carico da discutere nei risultati.</x:v>
      </x:c>
      <x:c r="K12" s="41"/>
      <x:c r="L12" s="41"/>
      <x:c r="M12" s="41"/>
      <x:c r="N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 ht="28" hidden="0" customHeight="1">
      <x:c r="A14" s="94" t="str">
        <x:v>Risultati finali per configurazione</x:v>
      </x:c>
      <x:c r="B14" s="94"/>
      <x:c r="C14" s="94"/>
      <x:c r="D14" s="94"/>
      <x:c r="E14" s="94"/>
      <x:c r="F14" s="94"/>
      <x:c r="G14" s="94"/>
      <x:c r="H14" s="94"/>
      <x:c r="I14" s="94"/>
      <x:c r="J14" s="94"/>
      <x:c r="K14" s="41"/>
      <x:c r="L14" s="41"/>
      <x:c r="M14" s="41"/>
      <x:c r="N14" s="41"/>
    </x:row>
    <x:row r="15" ht="28" hidden="0" customHeight="1">
      <x:c r="A15" s="98" t="str">
        <x:v>Configurazione</x:v>
      </x:c>
      <x:c r="B15" s="98" t="str">
        <x:v>Task totali</x:v>
      </x:c>
      <x:c r="C15" s="98" t="str">
        <x:v>Pending medio</x:v>
      </x:c>
      <x:c r="D15" s="98" t="str">
        <x:v>GA sub./comp./appl.</x:v>
      </x:c>
      <x:c r="E15" s="98" t="str">
        <x:v>Stale</x:v>
      </x:c>
      <x:c r="F15" s="98" t="str">
        <x:v>Stale % medio</x:v>
      </x:c>
      <x:c r="G15" s="98" t="str">
        <x:v>Runtime medio (s)</x:v>
      </x:c>
      <x:c r="H15" s="98" t="str">
        <x:v>P95 medio (s)</x:v>
      </x:c>
      <x:c r="I15" s="98" t="str">
        <x:v>Max osservato (s)</x:v>
      </x:c>
      <x:c r="J15" s="98" t="str">
        <x:v>Nota</x:v>
      </x:c>
      <x:c r="K15" s="41"/>
      <x:c r="L15" s="41"/>
      <x:c r="M15" s="41"/>
      <x:c r="N15" s="41"/>
    </x:row>
    <x:row r="16" ht="28" hidden="0" customHeight="1">
      <x:c r="A16" s="79" t="str">
        <x:v>CFG-L-E</x:v>
      </x:c>
      <x:c r="B16" s="79" t="n">
        <x:v>27498</x:v>
      </x:c>
      <x:c r="C16" s="108" t="n">
        <x:v>25.2</x:v>
      </x:c>
      <x:c r="D16" s="79" t="str">
        <x:v>3775/3775/3767</x:v>
      </x:c>
      <x:c r="E16" s="79" t="n">
        <x:v>8</x:v>
      </x:c>
      <x:c r="F16" s="80" t="n">
        <x:v>0.2190972</x:v>
      </x:c>
      <x:c r="G16" s="80" t="n">
        <x:v>0.0268345634</x:v>
      </x:c>
      <x:c r="H16" s="80" t="n">
        <x:v>0.0595926</x:v>
      </x:c>
      <x:c r="I16" s="80" t="n">
        <x:v>0.2303412</x:v>
      </x:c>
      <x:c r="J16" s="79" t="str">
        <x:v>5/5 PASS</x:v>
      </x:c>
      <x:c r="K16" s="41"/>
      <x:c r="L16" s="41"/>
      <x:c r="M16" s="41"/>
      <x:c r="N16" s="41"/>
    </x:row>
    <x:row r="17" ht="28" hidden="0" customHeight="1">
      <x:c r="A17" s="79" t="str">
        <x:v>CFG-L-I</x:v>
      </x:c>
      <x:c r="B17" s="79" t="n">
        <x:v>27498</x:v>
      </x:c>
      <x:c r="C17" s="108" t="n">
        <x:v>32.4</x:v>
      </x:c>
      <x:c r="D17" s="79" t="str">
        <x:v>3547/3547/3541</x:v>
      </x:c>
      <x:c r="E17" s="79" t="n">
        <x:v>6</x:v>
      </x:c>
      <x:c r="F17" s="80" t="n">
        <x:v>0.1696068</x:v>
      </x:c>
      <x:c r="G17" s="80" t="n">
        <x:v>0.0296477942</x:v>
      </x:c>
      <x:c r="H17" s="80" t="n">
        <x:v>0.061001</x:v>
      </x:c>
      <x:c r="I17" s="80" t="n">
        <x:v>0.2951016</x:v>
      </x:c>
      <x:c r="J17" s="79" t="str">
        <x:v>5/5 PASS</x:v>
      </x:c>
      <x:c r="K17" s="41"/>
      <x:c r="L17" s="41"/>
      <x:c r="M17" s="41"/>
      <x:c r="N17" s="41"/>
    </x:row>
    <x:row r="18" ht="28" hidden="0" customHeight="1">
      <x:c r="A18" s="79" t="str">
        <x:v>CFG-L-S</x:v>
      </x:c>
      <x:c r="B18" s="79" t="n">
        <x:v>27498</x:v>
      </x:c>
      <x:c r="C18" s="108" t="n">
        <x:v>52.4</x:v>
      </x:c>
      <x:c r="D18" s="79" t="str">
        <x:v>3030/3030/3029</x:v>
      </x:c>
      <x:c r="E18" s="79" t="n">
        <x:v>1</x:v>
      </x:c>
      <x:c r="F18" s="80" t="n">
        <x:v>0.0344234</x:v>
      </x:c>
      <x:c r="G18" s="80" t="n">
        <x:v>0.0407877164</x:v>
      </x:c>
      <x:c r="H18" s="80" t="n">
        <x:v>0.08094222</x:v>
      </x:c>
      <x:c r="I18" s="80" t="n">
        <x:v>0.2148758</x:v>
      </x:c>
      <x:c r="J18" s="79" t="str">
        <x:v>5/5 PASS</x:v>
      </x:c>
      <x:c r="K18" s="41"/>
      <x:c r="L18" s="41"/>
      <x:c r="M18" s="41"/>
      <x:c r="N18" s="41"/>
    </x:row>
    <x:row r="19" ht="28" hidden="0" customHeight="1">
      <x:c r="A19" s="79" t="str">
        <x:v>CFG-N-E</x:v>
      </x:c>
      <x:c r="B19" s="79" t="n">
        <x:v>46475</x:v>
      </x:c>
      <x:c r="C19" s="108" t="n">
        <x:v>51.2</x:v>
      </x:c>
      <x:c r="D19" s="79" t="str">
        <x:v>2936/2936/2929</x:v>
      </x:c>
      <x:c r="E19" s="79" t="n">
        <x:v>7</x:v>
      </x:c>
      <x:c r="F19" s="80" t="n">
        <x:v>0.2449278</x:v>
      </x:c>
      <x:c r="G19" s="80" t="n">
        <x:v>0.0569331726</x:v>
      </x:c>
      <x:c r="H19" s="80" t="n">
        <x:v>0.12781866</x:v>
      </x:c>
      <x:c r="I19" s="80" t="n">
        <x:v>0.2600145</x:v>
      </x:c>
      <x:c r="J19" s="79" t="str">
        <x:v>5/5 PASS</x:v>
      </x:c>
      <x:c r="K19" s="41"/>
      <x:c r="L19" s="41"/>
      <x:c r="M19" s="41"/>
      <x:c r="N19" s="41"/>
    </x:row>
    <x:row r="20" ht="28" hidden="0" customHeight="1">
      <x:c r="A20" s="79" t="str">
        <x:v>CFG-N-I</x:v>
      </x:c>
      <x:c r="B20" s="79" t="n">
        <x:v>46475</x:v>
      </x:c>
      <x:c r="C20" s="108" t="n">
        <x:v>61</x:v>
      </x:c>
      <x:c r="D20" s="79" t="str">
        <x:v>2756/2756/2745</x:v>
      </x:c>
      <x:c r="E20" s="79" t="n">
        <x:v>11</x:v>
      </x:c>
      <x:c r="F20" s="80" t="n">
        <x:v>0.4053886</x:v>
      </x:c>
      <x:c r="G20" s="80" t="n">
        <x:v>0.065563101</x:v>
      </x:c>
      <x:c r="H20" s="80" t="n">
        <x:v>0.1460521</x:v>
      </x:c>
      <x:c r="I20" s="80" t="n">
        <x:v>0.3080391</x:v>
      </x:c>
      <x:c r="J20" s="79" t="str">
        <x:v>5/5 PASS</x:v>
      </x:c>
      <x:c r="K20" s="41"/>
      <x:c r="L20" s="41"/>
      <x:c r="M20" s="41"/>
      <x:c r="N20" s="41"/>
    </x:row>
    <x:row r="21" ht="28" hidden="0" customHeight="1">
      <x:c r="A21" s="79" t="str">
        <x:v>CFG-N-S</x:v>
      </x:c>
      <x:c r="B21" s="79" t="n">
        <x:v>46475</x:v>
      </x:c>
      <x:c r="C21" s="108" t="n">
        <x:v>102.8</x:v>
      </x:c>
      <x:c r="D21" s="79" t="str">
        <x:v>2177/2177/1917</x:v>
      </x:c>
      <x:c r="E21" s="79" t="n">
        <x:v>260</x:v>
      </x:c>
      <x:c r="F21" s="80" t="n">
        <x:v>11.9346474</x:v>
      </x:c>
      <x:c r="G21" s="80" t="n">
        <x:v>0.10101522760000001</x:v>
      </x:c>
      <x:c r="H21" s="80" t="n">
        <x:v>0.28030834</x:v>
      </x:c>
      <x:c r="I21" s="80" t="n">
        <x:v>0.4811488</x:v>
      </x:c>
      <x:c r="J21" s="79" t="str">
        <x:v>5/5 PASS; stale elevato nel profilo stress</x:v>
      </x:c>
      <x:c r="K21" s="41"/>
      <x:c r="L21" s="41"/>
      <x:c r="M21" s="41"/>
      <x:c r="N21" s="41"/>
    </x:row>
    <x:row r="22" ht="28" hidden="0" customHeight="1">
      <x:c r="A22" s="101" t="str">
        <x:v>CFG-H-E</x:v>
      </x:c>
      <x:c r="B22" s="101" t="n">
        <x:v>76510</x:v>
      </x:c>
      <x:c r="C22" s="109" t="n">
        <x:v>87</x:v>
      </x:c>
      <x:c r="D22" s="101" t="str">
        <x:v>2418/2418/2266</x:v>
      </x:c>
      <x:c r="E22" s="101" t="n">
        <x:v>152</x:v>
      </x:c>
      <x:c r="F22" s="102" t="n">
        <x:v>6.2723949999999995</x:v>
      </x:c>
      <x:c r="G22" s="102" t="n">
        <x:v>0.0762843336</x:v>
      </x:c>
      <x:c r="H22" s="102" t="n">
        <x:v>0.21296406</x:v>
      </x:c>
      <x:c r="I22" s="102" t="n">
        <x:v>0.4154753</x:v>
      </x:c>
      <x:c r="J22" s="101" t="str">
        <x:v>5/5 PASS</x:v>
      </x:c>
      <x:c r="K22" s="41"/>
      <x:c r="L22" s="41"/>
      <x:c r="M22" s="41"/>
      <x:c r="N22" s="41"/>
    </x:row>
    <x:row r="23" ht="28" customHeight="1">
      <x:c r="A23" s="46" t="str">
        <x:v>CFG-H-I</x:v>
      </x:c>
      <x:c r="B23" s="46" t="n">
        <x:v>76510</x:v>
      </x:c>
      <x:c r="C23" s="110" t="n">
        <x:v>109</x:v>
      </x:c>
      <x:c r="D23" s="46" t="str">
        <x:v>2101/2101/1834</x:v>
      </x:c>
      <x:c r="E23" s="46" t="n">
        <x:v>267</x:v>
      </x:c>
      <x:c r="F23" s="70" t="n">
        <x:v>12.8555912</x:v>
      </x:c>
      <x:c r="G23" s="70" t="n">
        <x:v>0.09549810759999999</x:v>
      </x:c>
      <x:c r="H23" s="70" t="n">
        <x:v>0.30717082</x:v>
      </x:c>
      <x:c r="I23" s="70" t="n">
        <x:v>0.5457594</x:v>
      </x:c>
      <x:c r="J23" s="46" t="str">
        <x:v>5/5 PASS; stale elevato nel profilo stress</x:v>
      </x:c>
      <x:c r="K23" s="41"/>
      <x:c r="L23" s="41"/>
      <x:c r="M23" s="41"/>
      <x:c r="N23" s="41"/>
    </x:row>
    <x:row r="24" ht="28" customHeight="1">
      <x:c r="A24" s="46" t="str">
        <x:v>CFG-H-S</x:v>
      </x:c>
      <x:c r="B24" s="46" t="n">
        <x:v>76510</x:v>
      </x:c>
      <x:c r="C24" s="110" t="n">
        <x:v>178.8</x:v>
      </x:c>
      <x:c r="D24" s="46" t="str">
        <x:v>1670/1670/1285</x:v>
      </x:c>
      <x:c r="E24" s="46" t="n">
        <x:v>385</x:v>
      </x:c>
      <x:c r="F24" s="70" t="n">
        <x:v>23.0648132</x:v>
      </x:c>
      <x:c r="G24" s="70" t="n">
        <x:v>0.1382137152</x:v>
      </x:c>
      <x:c r="H24" s="70" t="n">
        <x:v>0.4720086</x:v>
      </x:c>
      <x:c r="I24" s="70" t="n">
        <x:v>0.6401189</x:v>
      </x:c>
      <x:c r="J24" s="46" t="str">
        <x:v>5/5 PASS; stale elevato nel profilo stress</x:v>
      </x:c>
      <x:c r="K24" s="41"/>
      <x:c r="L24" s="41"/>
      <x:c r="M24" s="41"/>
      <x:c r="N24" s="41"/>
    </x:row>
    <x:row r="25" ht="28" customHeight="1">
      <x:c r="A25" s="106" t="str">
        <x:v>TOTALE G02</x:v>
      </x:c>
      <x:c r="B25" s="106" t="n">
        <x:v>451449</x:v>
      </x:c>
      <x:c r="C25" s="111" t="n">
        <x:v>77.75555555555556</x:v>
      </x:c>
      <x:c r="D25" s="106" t="str">
        <x:v>24410/24410/23313</x:v>
      </x:c>
      <x:c r="E25" s="106" t="n">
        <x:v>1097</x:v>
      </x:c>
      <x:c r="F25" s="107" t="n">
        <x:v>4.494059811552642</x:v>
      </x:c>
      <x:c r="G25" s="107" t="n">
        <x:v>0.07008641462222222</x:v>
      </x:c>
      <x:c r="H25" s="107" t="n">
        <x:v>0.1942064888888889</x:v>
      </x:c>
      <x:c r="I25" s="107" t="n">
        <x:v>0.6401189</x:v>
      </x:c>
      <x:c r="J25" s="106" t="str">
        <x:v>45/45 PASS; errori 0; warning 0; lag 0 s; violazioni 0</x:v>
      </x:c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124" t="str">
        <x:v>G02B — pianificata dopo audit residui; baseline G02 da riutilizzare</x:v>
      </x:c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41"/>
      <x:c r="L27" s="41"/>
      <x:c r="M27" s="41"/>
      <x:c r="N27" s="41"/>
    </x:row>
    <x:row r="28">
      <x:c r="A28" s="129" t="str">
        <x:v>Variante</x:v>
      </x:c>
      <x:c r="B28" s="129" t="str">
        <x:v>Stato</x:v>
      </x:c>
      <x:c r="C28" s="129" t="str">
        <x:v>Supporto</x:v>
      </x:c>
      <x:c r="D28" s="129" t="str">
        <x:v>Run</x:v>
      </x:c>
      <x:c r="E28" s="129" t="str">
        <x:v>Baseline</x:v>
      </x:c>
      <x:c r="F28" s="129" t="str">
        <x:v>Decisione</x:v>
      </x:c>
      <x:c r="G28" s="46"/>
      <x:c r="H28" s="46"/>
      <x:c r="I28" s="46"/>
      <x:c r="J28" s="46"/>
      <x:c r="K28" s="41"/>
      <x:c r="L28" s="41"/>
      <x:c r="M28" s="41"/>
      <x:c r="N28" s="41"/>
    </x:row>
    <x:row r="29">
      <x:c r="A29" s="135" t="str">
        <x:v>FULL_MA_GA</x:v>
      </x:c>
      <x:c r="B29" s="135" t="str">
        <x:v>AVAILABLE</x:v>
      </x:c>
      <x:c r="C29" s="135" t="str">
        <x:v>G02 esistente</x:v>
      </x:c>
      <x:c r="D29" s="135" t="n">
        <x:v>0</x:v>
      </x:c>
      <x:c r="E29" s="135" t="str">
        <x:v>Riutilizzare</x:v>
      </x:c>
      <x:c r="F29" s="135" t="str">
        <x:v>Nessuna nuova run</x:v>
      </x:c>
      <x:c r="G29" s="46"/>
      <x:c r="H29" s="46"/>
      <x:c r="I29" s="46"/>
      <x:c r="J29" s="46"/>
      <x:c r="K29" s="41"/>
      <x:c r="L29" s="41"/>
      <x:c r="M29" s="41"/>
      <x:c r="N29" s="41"/>
    </x:row>
    <x:row r="30">
      <x:c r="A30" s="134" t="str">
        <x:v>LOCAL_ONLY</x:v>
      </x:c>
      <x:c r="B30" s="134" t="str">
        <x:v>NOT_EXPOSED — branch sperimentale dopo audit residui</x:v>
      </x:c>
      <x:c r="C30" s="134" t="str">
        <x:v>Falsi positivi tooling</x:v>
      </x:c>
      <x:c r="D30" s="134" t="n">
        <x:v>0</x:v>
      </x:c>
      <x:c r="E30" s="134" t="str">
        <x:v>Non eseguibile</x:v>
      </x:c>
      <x:c r="F30" s="134" t="str">
        <x:v>Ultimo test con nuove simulazioni, prima di G07</x:v>
      </x:c>
      <x:c r="G30" s="46"/>
      <x:c r="H30" s="46"/>
      <x:c r="I30" s="46"/>
      <x:c r="J30" s="46"/>
      <x:c r="K30" s="41"/>
      <x:c r="L30" s="41"/>
      <x:c r="M30" s="41"/>
      <x:c r="N30" s="41"/>
    </x:row>
    <x:row r="31">
      <x:c r="A31" s="134" t="str">
        <x:v>NO_MOBILITY_PENALTY</x:v>
      </x:c>
      <x:c r="B31" s="134" t="str">
        <x:v>CORE_PRESENT_CONFIG_NOT_EXPOSED — branch sperimentale dopo audit residui</x:v>
      </x:c>
      <x:c r="C31" s="134" t="str">
        <x:v>Nessuna chiave runtime</x:v>
      </x:c>
      <x:c r="D31" s="134" t="n">
        <x:v>0</x:v>
      </x:c>
      <x:c r="E31" s="134" t="str">
        <x:v>Non eseguibile</x:v>
      </x:c>
      <x:c r="F31" s="134" t="str">
        <x:v>Ultimo test con nuove simulazioni, prima di G07</x:v>
      </x:c>
      <x:c r="G31" s="46"/>
      <x:c r="H31" s="46"/>
      <x:c r="I31" s="46"/>
      <x:c r="J31" s="46"/>
      <x:c r="K31" s="41"/>
      <x:c r="L31" s="41"/>
      <x:c r="M31" s="41"/>
      <x:c r="N31" s="41"/>
    </x:row>
    <x:row r="32">
      <x:c r="A32" s="134" t="str">
        <x:v>COLD_START_NO_REUSE</x:v>
      </x:c>
      <x:c r="B32" s="134" t="str">
        <x:v>CORE_PRESENT_CONFIG_NOT_EXPOSED — branch sperimentale dopo audit residui</x:v>
      </x:c>
      <x:c r="C32" s="134" t="str">
        <x:v>Nessuna forzatura JSON</x:v>
      </x:c>
      <x:c r="D32" s="134" t="n">
        <x:v>0</x:v>
      </x:c>
      <x:c r="E32" s="134" t="str">
        <x:v>Non eseguibile</x:v>
      </x:c>
      <x:c r="F32" s="134" t="str">
        <x:v>Ultimo test con nuove simulazioni, prima di G07</x:v>
      </x:c>
      <x:c r="G32" s="46"/>
      <x:c r="H32" s="46"/>
      <x:c r="I32" s="46"/>
      <x:c r="J32" s="46"/>
      <x:c r="K32" s="41"/>
      <x:c r="L32" s="41"/>
      <x:c r="M32" s="41"/>
      <x:c r="N32" s="41"/>
    </x:row>
    <x:row r="33">
      <x:c r="A33" s="134" t="str">
        <x:v>RANDOM_OR_GREEDY</x:v>
      </x:c>
      <x:c r="B33" s="134" t="str">
        <x:v>NO_EVIDENCE</x:v>
      </x:c>
      <x:c r="C33" s="134" t="str">
        <x:v>Non individuata</x:v>
      </x:c>
      <x:c r="D33" s="134" t="n">
        <x:v>0</x:v>
      </x:c>
      <x:c r="E33" s="134" t="str">
        <x:v>Opzionale</x:v>
      </x:c>
      <x:c r="F33" s="134" t="str">
        <x:v>Non introdurre solo per G02B</x:v>
      </x:c>
      <x:c r="G33" s="46"/>
      <x:c r="H33" s="46"/>
      <x:c r="I33" s="46"/>
      <x:c r="J33" s="46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 t="str">
        <x:v>G04 — mobilità e connettività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184" t="str">
        <x:v>Configurazione</x:v>
      </x:c>
      <x:c r="B36" s="185" t="str">
        <x:v>Run</x:v>
      </x:c>
      <x:c r="C36" s="185" t="str">
        <x:v>Stato</x:v>
      </x:c>
      <x:c r="D36" s="185" t="str">
        <x:v>Task</x:v>
      </x:c>
      <x:c r="E36" s="185" t="str">
        <x:v>GA sub/comp/appl</x:v>
      </x:c>
      <x:c r="F36" s="185" t="str">
        <x:v>Stale</x:v>
      </x:c>
      <x:c r="G36" s="185" t="str">
        <x:v>Stale %</x:v>
      </x:c>
      <x:c r="H36" s="185" t="str">
        <x:v>Runtime medio</x:v>
      </x:c>
      <x:c r="I36" s="185" t="str">
        <x:v>Assegnazioni</x:v>
      </x:c>
      <x:c r="J36" s="186" t="str">
        <x:v>Nota</x:v>
      </x:c>
      <x:c r="K36" s="41"/>
      <x:c r="L36" s="41"/>
      <x:c r="M36" s="41"/>
      <x:c r="N36" s="41"/>
    </x:row>
    <x:row r="37">
      <x:c r="A37" s="169" t="str">
        <x:v>CFG-M-BACKGROUND</x:v>
      </x:c>
      <x:c r="B37" s="170" t="str">
        <x:v>M-BACKGROUND-01</x:v>
      </x:c>
      <x:c r="C37" s="188" t="str">
        <x:v>PASS</x:v>
      </x:c>
      <x:c r="D37" s="170" t="n">
        <x:v>5901</x:v>
      </x:c>
      <x:c r="E37" s="170" t="str">
        <x:v>416/416/411</x:v>
      </x:c>
      <x:c r="F37" s="170" t="n">
        <x:v>5</x:v>
      </x:c>
      <x:c r="G37" s="170" t="n">
        <x:v>1.201923</x:v>
      </x:c>
      <x:c r="H37" s="170" t="n">
        <x:v>0.04782185</x:v>
      </x:c>
      <x:c r="I37" s="170" t="str">
        <x:v>L 13894</x:v>
      </x:c>
      <x:c r="J37" s="171" t="str">
        <x:v>LOCAL osservato</x:v>
      </x:c>
      <x:c r="K37" s="41"/>
      <x:c r="L37" s="41"/>
      <x:c r="M37" s="41"/>
      <x:c r="N37" s="41"/>
    </x:row>
    <x:row r="38">
      <x:c r="A38" s="169" t="str">
        <x:v>CFG-M-RSU0</x:v>
      </x:c>
      <x:c r="B38" s="170" t="str">
        <x:v>M-RSU0-01</x:v>
      </x:c>
      <x:c r="C38" s="188" t="str">
        <x:v>PASS</x:v>
      </x:c>
      <x:c r="D38" s="170" t="n">
        <x:v>5299</x:v>
      </x:c>
      <x:c r="E38" s="170" t="str">
        <x:v>370/370/369</x:v>
      </x:c>
      <x:c r="F38" s="170" t="n">
        <x:v>1</x:v>
      </x:c>
      <x:c r="G38" s="170" t="n">
        <x:v>0.27027</x:v>
      </x:c>
      <x:c r="H38" s="170" t="n">
        <x:v>0.058549806</x:v>
      </x:c>
      <x:c r="I38" s="170" t="str">
        <x:v>L 11234</x:v>
      </x:c>
      <x:c r="J38" s="171" t="str">
        <x:v>EDGE/CLOUD candidati; non applicati</x:v>
      </x:c>
      <x:c r="K38" s="41"/>
      <x:c r="L38" s="41"/>
      <x:c r="M38" s="41"/>
      <x:c r="N38" s="41"/>
    </x:row>
    <x:row r="39">
      <x:c r="A39" s="169" t="str">
        <x:v>CFG-M-RSU1</x:v>
      </x:c>
      <x:c r="B39" s="170" t="str">
        <x:v>M-RSU1-01</x:v>
      </x:c>
      <x:c r="C39" s="188" t="str">
        <x:v>PASS</x:v>
      </x:c>
      <x:c r="D39" s="170" t="n">
        <x:v>2887</x:v>
      </x:c>
      <x:c r="E39" s="170" t="str">
        <x:v>427/427/427</x:v>
      </x:c>
      <x:c r="F39" s="170" t="n">
        <x:v>0</x:v>
      </x:c>
      <x:c r="G39" s="170" t="n">
        <x:v>0</x:v>
      </x:c>
      <x:c r="H39" s="170" t="n">
        <x:v>0.028549481</x:v>
      </x:c>
      <x:c r="I39" s="170" t="str">
        <x:v>L 7079 / C 2</x:v>
      </x:c>
      <x:c r="J39" s="171" t="str">
        <x:v>Cloud gateway geometric</x:v>
      </x:c>
      <x:c r="K39" s="41"/>
      <x:c r="L39" s="41"/>
      <x:c r="M39" s="41"/>
      <x:c r="N39" s="41"/>
    </x:row>
    <x:row r="40">
      <x:c r="A40" s="172" t="str">
        <x:v>CFG-M-SWITCH / V2V</x:v>
      </x:c>
      <x:c r="B40" s="173" t="str">
        <x:v>2 run</x:v>
      </x:c>
      <x:c r="C40" s="190" t="str">
        <x:v>PASS_CON_LIMITAZIONE</x:v>
      </x:c>
      <x:c r="D40" s="173" t="n">
        <x:v>15537</x:v>
      </x:c>
      <x:c r="E40" s="173" t="str">
        <x:v>502/502/394</x:v>
      </x:c>
      <x:c r="F40" s="173" t="n">
        <x:v>108</x:v>
      </x:c>
      <x:c r="G40" s="173" t="n">
        <x:v>21.513944</x:v>
      </x:c>
      <x:c r="H40" s="173" t="n">
        <x:v>0.229163852</x:v>
      </x:c>
      <x:c r="I40" s="173" t="str">
        <x:v>L 11514</x:v>
      </x:c>
      <x:c r="J40" s="174" t="str">
        <x:v>Switch non osservato; V2V 0 applicate</x:v>
      </x:c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 t="str">
        <x:v>G05 — risorse, repair e limiti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 t="str">
        <x:v>Configurazione</x:v>
      </x:c>
      <x:c r="B43" s="41" t="str">
        <x:v>Run</x:v>
      </x:c>
      <x:c r="C43" s="41" t="str">
        <x:v>Stato</x:v>
      </x:c>
      <x:c r="D43" s="41" t="str">
        <x:v>Task</x:v>
      </x:c>
      <x:c r="E43" s="41" t="str">
        <x:v>GA sub/appl</x:v>
      </x:c>
      <x:c r="F43" s="41" t="str">
        <x:v>Stale %</x:v>
      </x:c>
      <x:c r="G43" s="41" t="str">
        <x:v>Runtime medio</x:v>
      </x:c>
      <x:c r="H43" s="41" t="str">
        <x:v>Assegnazioni</x:v>
      </x:c>
      <x:c r="I43" s="41" t="str">
        <x:v>Target</x:v>
      </x:c>
      <x:c r="J43" s="41" t="str">
        <x:v>Nota</x:v>
      </x:c>
      <x:c r="K43" s="41"/>
      <x:c r="L43" s="41"/>
      <x:c r="M43" s="41"/>
      <x:c r="N43" s="41"/>
    </x:row>
    <x:row r="44">
      <x:c r="A44" s="41" t="str">
        <x:v>CFG-R-LOCALCPU</x:v>
      </x:c>
      <x:c r="B44" s="41" t="str">
        <x:v>R-LOCALCPU-01</x:v>
      </x:c>
      <x:c r="C44" s="41" t="str">
        <x:v>PASS_WITH_REPRODUCIBLE_TEMPORAL_LIMIT</x:v>
      </x:c>
      <x:c r="D44" s="41" t="n">
        <x:v>5640</x:v>
      </x:c>
      <x:c r="E44" s="41" t="str">
        <x:v>36/27</x:v>
      </x:c>
      <x:c r="F44" s="41" t="n">
        <x:v>25</x:v>
      </x:c>
      <x:c r="G44" s="41" t="n">
        <x:v>0.841311894</x:v>
      </x:c>
      <x:c r="H44" s="41" t="str">
        <x:v>L 4 / V 2 / E 0 / C 0</x:v>
      </x:c>
      <x:c r="I44" s="41" t="str">
        <x:v>Esercitato</x:v>
      </x:c>
      <x:c r="J44" s="41" t="str">
        <x:v>La CPU locale dimezzata produce offloading remoto in tre osservazioni, ma il runtime smette di applicare strategie molto prima della fine.</x:v>
      </x:c>
      <x:c r="K44" s="41"/>
      <x:c r="L44" s="41"/>
      <x:c r="M44" s="41"/>
      <x:c r="N44" s="41"/>
    </x:row>
    <x:row r="45">
      <x:c r="A45" s="41" t="str">
        <x:v>CFG-R-EDGECPU</x:v>
      </x:c>
      <x:c r="B45" s="41" t="str">
        <x:v>R-EDGECPU-01</x:v>
      </x:c>
      <x:c r="C45" s="41" t="str">
        <x:v>PASS_TECHNICAL_TARGET_RESOURCE_NOT_EXERCISED</x:v>
      </x:c>
      <x:c r="D45" s="41" t="n">
        <x:v>5640</x:v>
      </x:c>
      <x:c r="E45" s="41" t="str">
        <x:v>253/215</x:v>
      </x:c>
      <x:c r="F45" s="41" t="n">
        <x:v>15.019763</x:v>
      </x:c>
      <x:c r="G45" s="41" t="n">
        <x:v>0.117136995</x:v>
      </x:c>
      <x:c r="H45" s="41" t="str">
        <x:v>L 10831 / V 0 / E 0 / C 0</x:v>
      </x:c>
      <x:c r="I45" s="41" t="str">
        <x:v>Non esercitato</x:v>
      </x:c>
      <x:c r="J45" s="41" t="str">
        <x:v>La CPU EDGE ridotta viene caricata correttamente, ma EDGE non viene selezionato nelle strategie applicate.</x:v>
      </x:c>
      <x:c r="K45" s="41"/>
      <x:c r="L45" s="41"/>
      <x:c r="M45" s="41"/>
      <x:c r="N45" s="41"/>
    </x:row>
    <x:row r="46">
      <x:c r="A46" s="41" t="str">
        <x:v>CFG-R-CLOUDCPU</x:v>
      </x:c>
      <x:c r="B46" s="41" t="str">
        <x:v>R-CLOUDCPU-01</x:v>
      </x:c>
      <x:c r="C46" s="41" t="str">
        <x:v>PASS_TECHNICAL_TARGET_RESOURCE_NOT_EXERCISED</x:v>
      </x:c>
      <x:c r="D46" s="41" t="n">
        <x:v>5640</x:v>
      </x:c>
      <x:c r="E46" s="41" t="str">
        <x:v>235/184</x:v>
      </x:c>
      <x:c r="F46" s="41" t="n">
        <x:v>21.702128</x:v>
      </x:c>
      <x:c r="G46" s="41" t="n">
        <x:v>0.116567889</x:v>
      </x:c>
      <x:c r="H46" s="41" t="str">
        <x:v>L 8142 / V 0 / E 0 / C 0</x:v>
      </x:c>
      <x:c r="I46" s="41" t="str">
        <x:v>Non esercitato</x:v>
      </x:c>
      <x:c r="J46" s="41" t="str">
        <x:v>La CPU CLOUD ridotta viene caricata correttamente, ma CLOUD non viene selezionato nelle strategie applicate.</x:v>
      </x:c>
      <x:c r="K46" s="41"/>
      <x:c r="L46" s="41"/>
      <x:c r="M46" s="41"/>
      <x:c r="N46" s="41"/>
    </x:row>
    <x:row r="47">
      <x:c r="A47" s="41" t="str">
        <x:v>CFG-R-CELLBW</x:v>
      </x:c>
      <x:c r="B47" s="41" t="str">
        <x:v>R-CELLBW-01</x:v>
      </x:c>
      <x:c r="C47" s="41" t="str">
        <x:v>PASS_TECHNICAL_TARGET_LINK_NOT_EXERCISED</x:v>
      </x:c>
      <x:c r="D47" s="41" t="n">
        <x:v>5640</x:v>
      </x:c>
      <x:c r="E47" s="41" t="str">
        <x:v>246/201</x:v>
      </x:c>
      <x:c r="F47" s="41" t="n">
        <x:v>18.292683</x:v>
      </x:c>
      <x:c r="G47" s="41" t="n">
        <x:v>0.108499519</x:v>
      </x:c>
      <x:c r="H47" s="41" t="str">
        <x:v>L 9408 / V 0 / E 0 / C 0</x:v>
      </x:c>
      <x:c r="I47" s="41" t="str">
        <x:v>Non esercitato</x:v>
      </x:c>
      <x:c r="J47" s="41" t="str">
        <x:v>La banda CELL ridotta non viene attraversata da assegnazioni EDGE o CLOUD applicate.</x:v>
      </x:c>
      <x:c r="K47" s="41"/>
      <x:c r="L47" s="41"/>
      <x:c r="M47" s="41"/>
      <x:c r="N47" s="41"/>
    </x:row>
    <x:row r="48">
      <x:c r="A48" s="41" t="str">
        <x:v>CFG-R-RTT</x:v>
      </x:c>
      <x:c r="B48" s="41" t="str">
        <x:v>R-RTT-01</x:v>
      </x:c>
      <x:c r="C48" s="41" t="str">
        <x:v>PASS_STABLE_TARGET_LINK_NOT_EXERCISED</x:v>
      </x:c>
      <x:c r="D48" s="41" t="n">
        <x:v>5640</x:v>
      </x:c>
      <x:c r="E48" s="41" t="str">
        <x:v>326/325</x:v>
      </x:c>
      <x:c r="F48" s="41" t="n">
        <x:v>0.306748</x:v>
      </x:c>
      <x:c r="G48" s="41" t="n">
        <x:v>0.069136274</x:v>
      </x:c>
      <x:c r="H48" s="41" t="str">
        <x:v>L 10389 / V 1 / E 0 / C 0</x:v>
      </x:c>
      <x:c r="I48" s="41" t="str">
        <x:v>Non esercitato</x:v>
      </x:c>
      <x:c r="J48" s="41" t="str">
        <x:v>La run resta stabile, ma il RTT CELL aumentato non viene realmente esercitato da scelte EDGE o CLOUD.</x:v>
      </x:c>
      <x:c r="K48" s="41"/>
      <x:c r="L48" s="41"/>
      <x:c r="M48" s="41"/>
      <x:c r="N48" s="41"/>
    </x:row>
    <x:row r="49">
      <x:c r="A49" s="41" t="str">
        <x:v>CFG-R-V2VBW</x:v>
      </x:c>
      <x:c r="B49" s="41" t="str">
        <x:v>R-V2VBW-01</x:v>
      </x:c>
      <x:c r="C49" s="41" t="str">
        <x:v>PASS_WITH_STRESS_LIMIT_TARGET_NOT_EXERCISED</x:v>
      </x:c>
      <x:c r="D49" s="41" t="n">
        <x:v>9396</x:v>
      </x:c>
      <x:c r="E49" s="41" t="str">
        <x:v>141/75</x:v>
      </x:c>
      <x:c r="F49" s="41" t="n">
        <x:v>46.808511</x:v>
      </x:c>
      <x:c r="G49" s="41" t="n">
        <x:v>0.556510694</x:v>
      </x:c>
      <x:c r="H49" s="41" t="str">
        <x:v>L 2291 / V 0 / E 0 / C 0</x:v>
      </x:c>
      <x:c r="I49" s="41" t="str">
        <x:v>Non esercitato</x:v>
      </x:c>
      <x:c r="J49" s="41" t="str">
        <x:v>Lo stress profile high_density aumenta runtime e stale ratio; nessuna assegnazione VEHICLE viene applicata.</x:v>
      </x:c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J1"/>
    <x:mergeCell ref="A14:J14"/>
    <x:mergeCell ref="A27:J27"/>
  </x:mergeCells>
  <x:conditionalFormatting sqref="H4:H12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{97D97D1B-A1FF-6E52-2B53-39E0CE2D3DFA}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85d7fc78b8a419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7D97D1B-A1FF-6E52-2B53-39E0CE2D3DFA}">
            <x14:dataBar gradient="1">
              <x14:cfvo type="min"/>
              <x14:cfvo type="max"/>
              <x14:fillColor rgb="FF5B9BD5"/>
            </x14:dataBar>
          </x14:cfRule>
          <xm:sqref>H4:H12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34" hidden="0" customWidth="1"/>
    <x:col min="5" max="5" width="38" hidden="0" customWidth="1"/>
    <x:col min="6" max="6" width="14" hidden="0" customWidth="1"/>
  </x:cols>
  <x:sheetData>
    <x:row r="1">
      <x:c r="A1" s="139" t="str">
        <x:v>Storico sintetico della campagna — aggiornato a G06</x:v>
      </x:c>
      <x:c r="B1" s="139"/>
      <x:c r="C1" s="139"/>
      <x:c r="D1" s="139"/>
      <x:c r="E1" s="139"/>
      <x:c r="F1" s="139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6"/>
      <x:c r="E2" s="46"/>
      <x:c r="F2" s="46"/>
      <x:c r="G2" s="41"/>
      <x:c r="H2" s="41"/>
      <x:c r="I2" s="41"/>
      <x:c r="J2" s="41"/>
      <x:c r="K2" s="41"/>
      <x:c r="L2" s="41"/>
      <x:c r="M2" s="41"/>
      <x:c r="N2" s="41"/>
    </x:row>
    <x:row r="3">
      <x:c r="A3" s="118" t="str">
        <x:v>Fase</x:v>
      </x:c>
      <x:c r="B3" s="118" t="str">
        <x:v>Stato</x:v>
      </x:c>
      <x:c r="C3" s="118" t="str">
        <x:v>Evidenza principale</x:v>
      </x:c>
      <x:c r="D3" s="118" t="str">
        <x:v>Limitazione</x:v>
      </x:c>
      <x:c r="E3" s="118" t="str">
        <x:v>Riferimento</x:v>
      </x:c>
      <x:c r="F3" s="118" t="str">
        <x:v>Da ripetere?</x:v>
      </x:c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G00</x:v>
      </x:c>
      <x:c r="B4" s="46" t="str">
        <x:v>PASS</x:v>
      </x:c>
      <x:c r="C4" s="46" t="str">
        <x:v>69 materializzazioni preparate e verificate</x:v>
      </x:c>
      <x:c r="D4" s="46" t="str">
        <x:v>Nessuna run statistica</x:v>
      </x:c>
      <x:c r="E4" s="46" t="str">
        <x:v>test-audits/final-campaign/G00...</x:v>
      </x:c>
      <x:c r="F4" s="46" t="str">
        <x:v>No</x:v>
      </x:c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G01</x:v>
      </x:c>
      <x:c r="B5" s="46" t="str">
        <x:v>PASS_CON_LIMITAZIONE</x:v>
      </x:c>
      <x:c r="C5" s="46" t="str">
        <x:v>Smoke 180 s e validator PASS</x:v>
      </x:c>
      <x:c r="D5" s="46" t="str">
        <x:v>Fresh build Windows non dimostrata</x:v>
      </x:c>
      <x:c r="E5" s="46" t="str">
        <x:v>log-20260622-114955-...</x:v>
      </x:c>
      <x:c r="F5" s="46" t="str">
        <x:v>No</x:v>
      </x:c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Cleanup pre-G02</x:v>
      </x:c>
      <x:c r="B6" s="46" t="str">
        <x:v>PASS</x:v>
      </x:c>
      <x:c r="C6" s="46" t="str">
        <x:v>Backup e log archiviati</x:v>
      </x:c>
      <x:c r="D6" s="46" t="str">
        <x:v>Nessuna</x:v>
      </x:c>
      <x:c r="E6" s="46" t="str">
        <x:v>tmp/archive/pre-G02-cleanup-20260622-180958</x:v>
      </x:c>
      <x:c r="F6" s="46" t="str">
        <x:v>No</x:v>
      </x:c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Pipeline post-pulizia</x:v>
      </x:c>
      <x:c r="B7" s="46" t="str">
        <x:v>PASS</x:v>
      </x:c>
      <x:c r="C7" s="46" t="str">
        <x:v>Pipeline completa e validator PASS</x:v>
      </x:c>
      <x:c r="D7" s="46" t="str">
        <x:v>Checkpoint tecnico, non G02</x:v>
      </x:c>
      <x:c r="E7" s="46" t="str">
        <x:v>log-20260622-234728-...</x:v>
      </x:c>
      <x:c r="F7" s="46" t="str">
        <x:v>No</x:v>
      </x:c>
      <x:c r="G7" s="41"/>
      <x:c r="H7" s="41"/>
      <x:c r="I7" s="41"/>
      <x:c r="J7" s="41"/>
      <x:c r="K7" s="41"/>
      <x:c r="L7" s="41"/>
      <x:c r="M7" s="41"/>
      <x:c r="N7" s="41"/>
    </x:row>
    <x:row r="8">
      <x:c r="A8" s="135" t="str">
        <x:v>G02 principale</x:v>
      </x:c>
      <x:c r="B8" s="135" t="str">
        <x:v>PASS</x:v>
      </x:c>
      <x:c r="C8" s="135" t="str">
        <x:v>45/45 run, nove configurazioni</x:v>
      </x:c>
      <x:c r="D8" s="135" t="str">
        <x:v>taskCompletionModel NOT_IMPLEMENTED; high_density è stress profile</x:v>
      </x:c>
      <x:c r="E8" s="135" t="str">
        <x:v>G02_closure_and_G02B_audit_20260623-023328.zip</x:v>
      </x:c>
      <x:c r="F8" s="135" t="str">
        <x:v>No</x:v>
      </x:c>
      <x:c r="G8" s="41"/>
      <x:c r="H8" s="41"/>
      <x:c r="I8" s="41"/>
      <x:c r="J8" s="41"/>
      <x:c r="K8" s="41"/>
      <x:c r="L8" s="41"/>
      <x:c r="M8" s="41"/>
      <x:c r="N8" s="41"/>
    </x:row>
    <x:row r="9">
      <x:c r="A9" s="135" t="str">
        <x:v>G02B audit</x:v>
      </x:c>
      <x:c r="B9" s="135" t="str">
        <x:v>PASS</x:v>
      </x:c>
      <x:c r="C9" s="135" t="str">
        <x:v>Audit configurazione/core/tooling completato</x:v>
      </x:c>
      <x:c r="D9" s="135" t="str">
        <x:v>Nessuna variante obbligatoria esposta</x:v>
      </x:c>
      <x:c r="E9" s="135" t="str">
        <x:v>g02b_support_decision.json</x:v>
      </x:c>
      <x:c r="F9" s="135" t="str">
        <x:v>No</x:v>
      </x:c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G02B comparative</x:v>
      </x:c>
      <x:c r="B10" s="115" t="str">
        <x:v>PLANNED_AFTER_RESIDUAL_AUDIT</x:v>
      </x:c>
      <x:c r="C10" s="115" t="str">
        <x:v>0 run; modifiche minime future dopo G06 e audit residui</x:v>
      </x:c>
      <x:c r="D10" s="115" t="str">
        <x:v>Branch sperimentale dedicato; baseline G02 riusate</x:v>
      </x:c>
      <x:c r="E10" s="115" t="str">
        <x:v>audit_G02B_feasibility.md</x:v>
      </x:c>
      <x:c r="F10" s="115" t="str">
        <x:v>Dopo audit residui</x:v>
      </x:c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46" t="str">
        <x:v>G03</x:v>
      </x:c>
      <x:c r="B11" s="46" t="str">
        <x:v>PASS_CON_LIMITE_STRESS</x:v>
      </x:c>
      <x:c r="C11" s="46" t="str">
        <x:v>10 azioni PASS; 8 run MOSAIC PASS</x:v>
      </x:c>
      <x:c r="D11" s="46" t="str">
        <x:v>H-S-EXT opzionale interrotta a 464 s</x:v>
      </x:c>
      <x:c r="E11" s="46" t="str">
        <x:v>G03 closure evidence</x:v>
      </x:c>
      <x:c r="F11" s="46" t="str">
        <x:v>No</x:v>
      </x:c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G04</x:v>
      </x:c>
      <x:c r="B12" s="244" t="str">
        <x:v>PASS_WITH_OBSERVABILITY_LIMITS</x:v>
      </x:c>
      <x:c r="C12" s="46" t="str">
        <x:v>5/5 run tecniche PASS; 10 test valutati</x:v>
      </x:c>
      <x:c r="D12" s="46" t="str">
        <x:v>T-094 e T-098 NON_OSSERVATO; stale V2V elevato</x:v>
      </x:c>
      <x:c r="E12" s="46" t="str">
        <x:v>G04 closure evidence</x:v>
      </x:c>
      <x:c r="F12" s="46" t="str">
        <x:v>No</x:v>
      </x:c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41" t="str">
        <x:v>G05</x:v>
      </x:c>
      <x:c r="B13" s="192" t="str">
        <x:v>PASS_WITH_RESOURCE_AND_TEMPORAL_LIMITS</x:v>
      </x:c>
      <x:c r="C13" s="41" t="str">
        <x:v>6/6 run tecniche; 2 recovery LOCALCPU</x:v>
      </x:c>
      <x:c r="D13" s="41" t="str">
        <x:v>Target remoti spesso non esercitati; limite temporale riprodotto</x:v>
      </x:c>
      <x:c r="E13" s="41" t="str">
        <x:v>G05 thesis synthesis</x:v>
      </x:c>
      <x:c r="F13" s="41" t="str">
        <x:v>No</x:v>
      </x:c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1" t="str">
        <x:v>G06</x:v>
      </x:c>
      <x:c r="B14" s="41" t="str">
        <x:v>PASS_WITH_CONTROLLED_STALE_AND_DOCUMENTED_LIMITS</x:v>
      </x:c>
      <x:c r="C14" s="41" t="str">
        <x:v>1 forced-stale + audit di 36.486 record</x:v>
      </x:c>
      <x:c r="D14" s="41" t="str">
        <x:v>Validator smoke respinge atteso; nessuna strategia precedente</x:v>
      </x:c>
      <x:c r="E14" s="41" t="str">
        <x:v>G06 closure evidence</x:v>
      </x:c>
      <x:c r="F14" s="41" t="str">
        <x:v>No</x:v>
      </x:c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1" t="str">
        <x:v>Prossimo gruppo</x:v>
      </x:c>
      <x:c r="B15" s="41" t="str">
        <x:v>Audit residui</x:v>
      </x:c>
      <x:c r="C15" s="41" t="str">
        <x:v>T-091/T-094 e possibile G04-R</x:v>
      </x:c>
      <x:c r="D15" s="41" t="str">
        <x:v>Poi G02B e G07</x:v>
      </x:c>
      <x:c r="E15" s="41" t="str">
        <x:v>G06 completion handoff</x:v>
      </x:c>
      <x:c r="F15" s="41" t="str">
        <x:v>Sì</x:v>
      </x:c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B4:B8">
    <x:cfRule type="expression" dxfId="7" priority="1">
      <x:formula>B4="PASS"</x:formula>
    </x:cfRule>
    <x:cfRule type="expression" dxfId="8" priority="2">
      <x:formula>B4="PASS_CON_LIMITAZIONE"</x:formula>
    </x:cfRule>
    <x:cfRule type="expression" dxfId="9" priority="3">
      <x:formula>B4="DA_ESEGUIRE"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8" hidden="0" customWidth="1"/>
  </x:cols>
  <x:sheetData>
    <x:row r="1">
      <x:c r="A1" s="139" t="str">
        <x:v>Legenda degli stati — aggiornata a G06</x:v>
      </x:c>
      <x:c r="B1" s="139"/>
      <x:c r="C1" s="139"/>
      <x:c r="D1" s="58"/>
      <x:c r="E1" s="58"/>
      <x:c r="F1" s="58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5" t="str">
        <x:v>Stato</x:v>
      </x:c>
      <x:c r="B3" s="45" t="str">
        <x:v>Significato</x:v>
      </x:c>
      <x:c r="C3" s="45" t="str">
        <x:v>Quando usarlo</x:v>
      </x:c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DA_ESEGUIRE</x:v>
      </x:c>
      <x:c r="B4" s="46" t="str">
        <x:v>Run non ancora completata</x:v>
      </x:c>
      <x:c r="C4" s="46" t="str">
        <x:v>Stato iniziale delle 45 run</x:v>
      </x:c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PASS</x:v>
      </x:c>
      <x:c r="B5" s="46" t="str">
        <x:v>Run completa e valida</x:v>
      </x:c>
      <x:c r="C5" s="46" t="str">
        <x:v>Validator e controlli richiesti superati</x:v>
      </x:c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PASS_CON_LIMITAZIONE</x:v>
      </x:c>
      <x:c r="B6" s="46" t="str">
        <x:v>Run valida con limite documentato</x:v>
      </x:c>
      <x:c r="C6" s="46" t="str">
        <x:v>Es. evidenza valida ma build non fresca</x:v>
      </x:c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EVIDENZA_PARZIALE</x:v>
      </x:c>
      <x:c r="B7" s="46" t="str">
        <x:v>Sono presenti solo parte dei risultati</x:v>
      </x:c>
      <x:c r="C7" s="46" t="str">
        <x:v>La run o il post-processing non coprono tutto</x:v>
      </x:c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</x:row>
    <x:row r="8">
      <x:c r="A8" s="46" t="str">
        <x:v>NON_DISPONIBILE</x:v>
      </x:c>
      <x:c r="B8" s="46" t="str">
        <x:v>Metrica o evidenza non prodotta</x:v>
      </x:c>
      <x:c r="C8" s="46" t="str">
        <x:v>Non trasformare in PASS senza prova</x:v>
      </x:c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</x:row>
    <x:row r="9">
      <x:c r="A9" s="115" t="str">
        <x:v>DECISION_REQUIRED</x:v>
      </x:c>
      <x:c r="B9" s="115" t="str">
        <x:v>L'audit è terminato ma serve una scelta prima di procedere</x:v>
      </x:c>
      <x:c r="C9" s="115" t="str">
        <x:v>Usato per G02B quando il confronto richiede modifiche al core</x:v>
      </x:c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NOT_EXPOSED</x:v>
      </x:c>
      <x:c r="B10" s="115" t="str">
        <x:v>Funzione non attivabile tramite configurazione/tooling</x:v>
      </x:c>
      <x:c r="C10" s="115" t="str">
        <x:v>Non avviare run e non simulare il confronto con post-processing</x:v>
      </x:c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115" t="str">
        <x:v>CORE_PRESENT_CONFIG_NOT_EXPOSED</x:v>
      </x:c>
      <x:c r="B11" s="115" t="str">
        <x:v>La logica esiste nel core ma non è controllabile dal runtime</x:v>
      </x:c>
      <x:c r="C11" s="115" t="str">
        <x:v>Fermarsi prima di qualunque modifica Java</x:v>
      </x:c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Non inventare metriche</x:v>
      </x:c>
      <x:c r="B12" s="46" t="str">
        <x:v>Lascia vuoto o NON_DISPONIBILE</x:v>
      </x:c>
      <x:c r="C12" s="46" t="str">
        <x:v>Vale soprattutto per T-016 e task completion</x:v>
      </x:c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129" t="str">
        <x:v>Regola</x:v>
      </x:c>
      <x:c r="B13" s="129" t="str">
        <x:v>Applicazione</x:v>
      </x:c>
      <x:c r="C13" s="129" t="str">
        <x:v>Nota</x:v>
      </x:c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6" t="str">
        <x:v>Una riga = una run</x:v>
      </x:c>
      <x:c r="B14" s="46" t="str">
        <x:v>Non un gruppo intero</x:v>
      </x:c>
      <x:c r="C14" s="46" t="str">
        <x:v>Le 45 run MAIN sono state aggiornate singolarmente</x:v>
      </x:c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6" t="str">
        <x:v>Non inventare metriche</x:v>
      </x:c>
      <x:c r="B15" s="46" t="str">
        <x:v>Lascia vuoto o NON_DISPONIBILE</x:v>
      </x:c>
      <x:c r="C15" s="46" t="str">
        <x:v>Vale soprattutto per T-016 e task completion</x:v>
      </x:c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6" t="str">
        <x:v>Problema ≠ run fallita</x:v>
      </x:c>
      <x:c r="B16" s="46" t="str">
        <x:v>Descrivere nel campo Problema / anomalia</x:v>
      </x:c>
      <x:c r="C16" s="46" t="str">
        <x:v>Può riguardare reporting, stale o post-processing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6" t="str">
        <x:v>Matrice completa ufficiale</x:v>
      </x:c>
      <x:c r="B17" s="46" t="str">
        <x:v>Usare per dettagli tecnici</x:v>
      </x:c>
      <x:c r="C17" s="46" t="str">
        <x:v>La semplificata serve al monitoraggio personale</x:v>
      </x:c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6" t="str">
        <x:v>PASS_CON_LIMITE_STRESS</x:v>
      </x:c>
      <x:c r="B18" s="46" t="str">
        <x:v>Obiettivi obbligatori soddisfatti con un limite opzionale documentato</x:v>
      </x:c>
      <x:c r="C18" s="46" t="str">
        <x:v>Stato finale G03</x:v>
      </x:c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6" t="str">
        <x:v>OPTIONAL_STRESS_LIMIT</x:v>
      </x:c>
      <x:c r="B19" s="46" t="str">
        <x:v>Run opzionale non completata che misura il limite dello stress profile</x:v>
      </x:c>
      <x:c r="C19" s="46" t="str">
        <x:v>H-S-EXT-01</x:v>
      </x:c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184" t="str">
        <x:v>PLANNED_AFTER_RESIDUAL_AUDIT</x:v>
      </x:c>
      <x:c r="B20" s="185" t="str">
        <x:v>Attività pianificata dopo G06 e dopo l’audit delle evidenze residue</x:v>
      </x:c>
      <x:c r="C20" s="186" t="str">
        <x:v>G02B</x:v>
      </x:c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169" t="str">
        <x:v>NON_OSSERVATO</x:v>
      </x:c>
      <x:c r="B21" s="170" t="str">
        <x:v>La run è valida ma il comportamento richiesto non compare nelle evidenze</x:v>
      </x:c>
      <x:c r="C21" s="171" t="str">
        <x:v>Non equivale a FAIL; non trasformare in PASS.</x:v>
      </x:c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172" t="str">
        <x:v>PASS_WITH_OBSERVABILITY_LIMITS</x:v>
      </x:c>
      <x:c r="B22" s="173" t="str">
        <x:v>Gruppo tecnicamente valido con funzioni non osservate o parziali</x:v>
      </x:c>
      <x:c r="C22" s="174" t="str">
        <x:v>Stato finale G04.</x:v>
      </x:c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 t="str">
        <x:v>PASS_WITH_RESOURCE_AND_TEMPORAL_LIMITS</x:v>
      </x:c>
      <x:c r="B23" s="41" t="str">
        <x:v>Gruppo tecnicamente valido con limiti di esercizio risorsa e continuità temporale</x:v>
      </x:c>
      <x:c r="C23" s="41" t="str">
        <x:v>Stato finale G05.</x:v>
      </x:c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 t="str">
        <x:v>PASS_WITH_REPRODUCIBLE_TEMPORAL_LIMIT</x:v>
      </x:c>
      <x:c r="B24" s="41" t="str">
        <x:v>Effetto funzionale riprodotto insieme a un limite temporale riprodotto</x:v>
      </x:c>
      <x:c r="C24" s="41" t="str">
        <x:v>Verdetto R-LOCALCPU.</x:v>
      </x:c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 t="str">
        <x:v>TARGET_NOT_EXERCISED</x:v>
      </x:c>
      <x:c r="B25" s="41" t="str">
        <x:v>Parametro degradato caricato, ma la risorsa/link non appare nelle strategie applicate</x:v>
      </x:c>
      <x:c r="C25" s="41" t="str">
        <x:v>Non equivale a repair osservato o test fallito.</x:v>
      </x:c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 t="str">
        <x:v>PASS_WITH_EXPECTED_CANONICAL_VALIDATOR_REJECTION</x:v>
      </x:c>
      <x:c r="B26" s="41" t="str">
        <x:v>Run forced-stale tecnicamente valida ma respinta dal validator smoke ordinario</x:v>
      </x:c>
      <x:c r="C26" s="41" t="str">
        <x:v>Usare solo se l’unico errore è strategyApplications &lt;= 0 e tutti i job sono stale.</x:v>
      </x:c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 t="str">
        <x:v>PASS_WITH_FORCED_STALE_AND_NO_PRIOR_STRATEGY_LIMIT</x:v>
      </x:c>
      <x:c r="B27" s="41" t="str">
        <x:v>Scarto stale dimostrato senza strategia precedente</x:v>
      </x:c>
      <x:c r="C27" s="41" t="str">
        <x:v>Keep-last strategy non osservabile nella run.</x:v>
      </x:c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 t="str">
        <x:v>PASS_WITH_CONTROLLED_STALE_AND_DOCUMENTED_LIMITS</x:v>
      </x:c>
      <x:c r="B28" s="41" t="str">
        <x:v>Stato finale G06</x:v>
      </x:c>
      <x:c r="C28" s="41" t="str">
        <x:v>Test canonici coperti, con limiti forced-stale documentati.</x:v>
      </x:c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 t="str">
        <x:v>SKIP_NOT_REQUIRED_FOR_MANDATORY_G06</x:v>
      </x:c>
      <x:c r="B29" s="41" t="str">
        <x:v>Run opzionale non necessaria</x:v>
      </x:c>
      <x:c r="C29" s="41" t="str">
        <x:v>I test obbligatori sono già coperti da evidenze cross-run.</x:v>
      </x:c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 t="str">
        <x:v>DEFERRED_OPTIONAL_NOT_REQUIRED_FOR_CANONICAL_G06</x:v>
      </x:c>
      <x:c r="B30" s="41" t="str">
        <x:v>Test opzionale non canonico differito</x:v>
      </x:c>
      <x:c r="C30" s="41" t="str">
        <x:v>Non mescolare ADAPTIVE con la baseline STATIC.</x:v>
      </x:c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A4:A8">
    <x:cfRule type="expression" dxfId="10" priority="1">
      <x:formula>A4="PASS"</x:formula>
    </x:cfRule>
    <x:cfRule type="expression" dxfId="11" priority="2">
      <x:formula>A4="PASS_CON_LIMITAZIONE"</x:formula>
    </x:cfRule>
    <x:cfRule type="expression" dxfId="12" priority="3">
      <x:formula>A4="EVIDENZA_PARZIALE"</x:formula>
    </x:cfRule>
    <x:cfRule type="expression" dxfId="13" priority="4">
      <x:formula>A4="NON_DISPONIBILE"</x:formula>
    </x:cfRule>
    <x:cfRule type="expression" dxfId="14" priority="5">
      <x:formula>A4="DA_ESEGUIRE"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1" hidden="0" customWidth="1"/>
    <x:col min="4" max="4" width="12" hidden="0" customWidth="1"/>
    <x:col min="5" max="5" width="23" hidden="0" customWidth="1"/>
    <x:col min="6" max="6" width="12" hidden="0" customWidth="1"/>
    <x:col min="7" max="7" width="18" hidden="0" customWidth="1"/>
    <x:col min="8" max="8" width="10" hidden="0" customWidth="1"/>
    <x:col min="9" max="9" width="15" hidden="0" customWidth="1"/>
    <x:col min="10" max="10" width="38" hidden="0" customWidth="1"/>
  </x:cols>
  <x:sheetData>
    <x:row r="1">
      <x:c r="A1" s="155" t="str">
        <x:v>G03 — riepilogo operativo</x:v>
      </x:c>
      <x:c r="B1" s="155"/>
      <x:c r="C1" s="155"/>
      <x:c r="D1" s="155"/>
      <x:c r="E1" s="155"/>
      <x:c r="F1" s="155"/>
      <x:c r="G1" s="155"/>
      <x:c r="H1" s="155"/>
      <x:c r="I1" s="155"/>
      <x:c r="J1" s="155"/>
    </x:row>
    <x:row r="2">
      <x:c r="A2" s="158" t="str">
        <x:v>PASS_CON_LIMITE_STRESS: 10 azioni PASS; H-S-EXT opzionale interrotta a 464 s.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>
      <x:c r="A4" s="155" t="str">
        <x:v>Action</x:v>
      </x:c>
      <x:c r="B4" s="155" t="str">
        <x:v>Config</x:v>
      </x:c>
      <x:c r="C4" s="155" t="str">
        <x:v>Seed</x:v>
      </x:c>
      <x:c r="D4" s="155" t="str">
        <x:v>Durata</x:v>
      </x:c>
      <x:c r="E4" s="155" t="str">
        <x:v>Stato</x:v>
      </x:c>
      <x:c r="F4" s="155" t="str">
        <x:v>Task</x:v>
      </x:c>
      <x:c r="G4" s="155" t="str">
        <x:v>GA sub/comp/appl</x:v>
      </x:c>
      <x:c r="H4" s="155" t="str">
        <x:v>Stale</x:v>
      </x:c>
      <x:c r="I4" s="155" t="str">
        <x:v>Runtime medio</x:v>
      </x:c>
      <x:c r="J4" s="155" t="str">
        <x:v>Nota</x:v>
      </x:c>
    </x:row>
    <x:row r="5">
      <x:c r="A5" s="18" t="str">
        <x:v>REP-01-A</x:v>
      </x:c>
      <x:c r="B5" s="18" t="str">
        <x:v>CFG-REPRO</x:v>
      </x:c>
      <x:c r="C5" s="18" t="n">
        <x:v>104729</x:v>
      </x:c>
      <x:c r="D5" s="18" t="str">
        <x:v>300 s</x:v>
      </x:c>
      <x:c r="E5" s="18" t="str">
        <x:v>PASS</x:v>
      </x:c>
      <x:c r="F5" s="18" t="str">
        <x:v>—</x:v>
      </x:c>
      <x:c r="G5" s="18" t="str">
        <x:v>—</x:v>
      </x:c>
      <x:c r="H5" s="18" t="str">
        <x:v>—</x:v>
      </x:c>
      <x:c r="I5" s="18" t="str">
        <x:v>—</x:v>
      </x:c>
      <x:c r="J5" s="18" t="str">
        <x:v>MATERIALIZED_VALIDATED</x:v>
      </x:c>
    </x:row>
    <x:row r="6">
      <x:c r="A6" s="18" t="str">
        <x:v>REP-01-B</x:v>
      </x:c>
      <x:c r="B6" s="18" t="str">
        <x:v>CFG-REPRO</x:v>
      </x:c>
      <x:c r="C6" s="18" t="n">
        <x:v>104729</x:v>
      </x:c>
      <x:c r="D6" s="18" t="str">
        <x:v>300 s</x:v>
      </x:c>
      <x:c r="E6" s="18" t="str">
        <x:v>PASS</x:v>
      </x:c>
      <x:c r="F6" s="18" t="str">
        <x:v>—</x:v>
      </x:c>
      <x:c r="G6" s="18" t="str">
        <x:v>—</x:v>
      </x:c>
      <x:c r="H6" s="18" t="str">
        <x:v>—</x:v>
      </x:c>
      <x:c r="I6" s="18" t="str">
        <x:v>—</x:v>
      </x:c>
      <x:c r="J6" s="18" t="str">
        <x:v>LOGICALLY_IDENTICAL con A</x:v>
      </x:c>
    </x:row>
    <x:row r="7">
      <x:c r="A7" s="18" t="str">
        <x:v>VAR-N-01</x:v>
      </x:c>
      <x:c r="B7" s="18" t="str">
        <x:v>CFG-RUNTIME-REPEAT</x:v>
      </x:c>
      <x:c r="C7" s="18" t="n">
        <x:v>104729</x:v>
      </x:c>
      <x:c r="D7" s="18" t="str">
        <x:v>300 s</x:v>
      </x:c>
      <x:c r="E7" s="18" t="str">
        <x:v>PASS</x:v>
      </x:c>
      <x:c r="F7" s="18" t="n">
        <x:v>9306</x:v>
      </x:c>
      <x:c r="G7" s="18" t="str">
        <x:v>616/616/616</x:v>
      </x:c>
      <x:c r="H7" s="18" t="n">
        <x:v>0</x:v>
      </x:c>
      <x:c r="I7" s="18" t="n">
        <x:v>0.034014784</x:v>
      </x:c>
      <x:c r="J7" s="18" t="str">
        <x:v>Lag 0; violazioni 0.</x:v>
      </x:c>
    </x:row>
    <x:row r="8">
      <x:c r="A8" s="18" t="str">
        <x:v>VAR-N-02</x:v>
      </x:c>
      <x:c r="B8" s="18" t="str">
        <x:v>CFG-RUNTIME-REPEAT</x:v>
      </x:c>
      <x:c r="C8" s="18" t="n">
        <x:v>104729</x:v>
      </x:c>
      <x:c r="D8" s="18" t="str">
        <x:v>300 s</x:v>
      </x:c>
      <x:c r="E8" s="18" t="str">
        <x:v>PASS</x:v>
      </x:c>
      <x:c r="F8" s="18" t="n">
        <x:v>9306</x:v>
      </x:c>
      <x:c r="G8" s="18" t="str">
        <x:v>550/550/548</x:v>
      </x:c>
      <x:c r="H8" s="18" t="n">
        <x:v>2</x:v>
      </x:c>
      <x:c r="I8" s="18" t="n">
        <x:v>0.036719315</x:v>
      </x:c>
      <x:c r="J8" s="18" t="str">
        <x:v>Lag 0; violazioni 0.</x:v>
      </x:c>
    </x:row>
    <x:row r="9">
      <x:c r="A9" s="18" t="str">
        <x:v>VAR-N-03</x:v>
      </x:c>
      <x:c r="B9" s="18" t="str">
        <x:v>CFG-RUNTIME-REPEAT</x:v>
      </x:c>
      <x:c r="C9" s="18" t="n">
        <x:v>104729</x:v>
      </x:c>
      <x:c r="D9" s="18" t="str">
        <x:v>300 s</x:v>
      </x:c>
      <x:c r="E9" s="18" t="str">
        <x:v>PASS</x:v>
      </x:c>
      <x:c r="F9" s="18" t="n">
        <x:v>9306</x:v>
      </x:c>
      <x:c r="G9" s="18" t="str">
        <x:v>474/474/474</x:v>
      </x:c>
      <x:c r="H9" s="18" t="n">
        <x:v>0</x:v>
      </x:c>
      <x:c r="I9" s="18" t="n">
        <x:v>0.044145135</x:v>
      </x:c>
      <x:c r="J9" s="18" t="str">
        <x:v>Lag 0; violazioni 0.</x:v>
      </x:c>
    </x:row>
    <x:row r="10">
      <x:c r="A10" s="18" t="str">
        <x:v>N-I-EXT-01</x:v>
      </x:c>
      <x:c r="B10" s="18" t="str">
        <x:v>CFG-N-I-EXT</x:v>
      </x:c>
      <x:c r="C10" s="18" t="n">
        <x:v>104729</x:v>
      </x:c>
      <x:c r="D10" s="18" t="str">
        <x:v>600 s</x:v>
      </x:c>
      <x:c r="E10" s="18" t="str">
        <x:v>PASS</x:v>
      </x:c>
      <x:c r="F10" s="18" t="n">
        <x:v>19272</x:v>
      </x:c>
      <x:c r="G10" s="18" t="str">
        <x:v>1281/1281/1279</x:v>
      </x:c>
      <x:c r="H10" s="18" t="n">
        <x:v>2</x:v>
      </x:c>
      <x:c r="I10" s="18" t="n">
        <x:v>0.03477194</x:v>
      </x:c>
      <x:c r="J10" s="18" t="str">
        <x:v>Lag 0; violazioni 0.</x:v>
      </x:c>
    </x:row>
    <x:row r="11">
      <x:c r="A11" s="18" t="str">
        <x:v>N-I-EXT-02</x:v>
      </x:c>
      <x:c r="B11" s="18" t="str">
        <x:v>CFG-N-I-EXT</x:v>
      </x:c>
      <x:c r="C11" s="18" t="n">
        <x:v>130363</x:v>
      </x:c>
      <x:c r="D11" s="18" t="str">
        <x:v>600 s</x:v>
      </x:c>
      <x:c r="E11" s="18" t="str">
        <x:v>PASS</x:v>
      </x:c>
      <x:c r="F11" s="18" t="n">
        <x:v>19463</x:v>
      </x:c>
      <x:c r="G11" s="18" t="str">
        <x:v>1187/1187/1187</x:v>
      </x:c>
      <x:c r="H11" s="18" t="n">
        <x:v>0</x:v>
      </x:c>
      <x:c r="I11" s="18" t="n">
        <x:v>0.038538841</x:v>
      </x:c>
      <x:c r="J11" s="18" t="str">
        <x:v>Lag 0; violazioni 0.</x:v>
      </x:c>
    </x:row>
    <x:row r="12">
      <x:c r="A12" s="18" t="str">
        <x:v>N-I-EXT-03</x:v>
      </x:c>
      <x:c r="B12" s="18" t="str">
        <x:v>CFG-N-I-EXT</x:v>
      </x:c>
      <x:c r="C12" s="18" t="n">
        <x:v>155921</x:v>
      </x:c>
      <x:c r="D12" s="18" t="str">
        <x:v>600 s</x:v>
      </x:c>
      <x:c r="E12" s="18" t="str">
        <x:v>PASS</x:v>
      </x:c>
      <x:c r="F12" s="18" t="n">
        <x:v>19250</x:v>
      </x:c>
      <x:c r="G12" s="18" t="str">
        <x:v>1266/1266/1265</x:v>
      </x:c>
      <x:c r="H12" s="18" t="n">
        <x:v>1</x:v>
      </x:c>
      <x:c r="I12" s="18" t="n">
        <x:v>0.035164353</x:v>
      </x:c>
      <x:c r="J12" s="18" t="str">
        <x:v>Lag 0; violazioni 0.</x:v>
      </x:c>
    </x:row>
    <x:row r="13">
      <x:c r="A13" s="18" t="str">
        <x:v>N-I-EXT-04</x:v>
      </x:c>
      <x:c r="B13" s="18" t="str">
        <x:v>CFG-N-I-EXT</x:v>
      </x:c>
      <x:c r="C13" s="18" t="n">
        <x:v>181081</x:v>
      </x:c>
      <x:c r="D13" s="18" t="str">
        <x:v>600 s</x:v>
      </x:c>
      <x:c r="E13" s="18" t="str">
        <x:v>PASS</x:v>
      </x:c>
      <x:c r="F13" s="18" t="n">
        <x:v>19391</x:v>
      </x:c>
      <x:c r="G13" s="18" t="str">
        <x:v>1180/1180/1160</x:v>
      </x:c>
      <x:c r="H13" s="18" t="n">
        <x:v>20</x:v>
      </x:c>
      <x:c r="I13" s="18" t="n">
        <x:v>0.071733067</x:v>
      </x:c>
      <x:c r="J13" s="18" t="str">
        <x:v>Lag 0; violazioni 0.</x:v>
      </x:c>
    </x:row>
    <x:row r="14">
      <x:c r="A14" s="18" t="str">
        <x:v>N-I-EXT-05</x:v>
      </x:c>
      <x:c r="B14" s="18" t="str">
        <x:v>CFG-N-I-EXT</x:v>
      </x:c>
      <x:c r="C14" s="18" t="n">
        <x:v>207547</x:v>
      </x:c>
      <x:c r="D14" s="18" t="str">
        <x:v>600 s</x:v>
      </x:c>
      <x:c r="E14" s="18" t="str">
        <x:v>PASS</x:v>
      </x:c>
      <x:c r="F14" s="18" t="n">
        <x:v>18961</x:v>
      </x:c>
      <x:c r="G14" s="18" t="str">
        <x:v>1107/1107/1077</x:v>
      </x:c>
      <x:c r="H14" s="18" t="n">
        <x:v>30</x:v>
      </x:c>
      <x:c r="I14" s="18" t="n">
        <x:v>0.076004403</x:v>
      </x:c>
      <x:c r="J14" s="18" t="str">
        <x:v>Lag 0; violazioni 0.</x:v>
      </x:c>
    </x:row>
    <x:row r="15">
      <x:c r="A15" s="150" t="str">
        <x:v>H-S-EXT-01</x:v>
      </x:c>
      <x:c r="B15" s="150" t="str">
        <x:v>CFG-H-S-EXT</x:v>
      </x:c>
      <x:c r="C15" s="150" t="n">
        <x:v>104729</x:v>
      </x:c>
      <x:c r="D15" s="150" t="str">
        <x:v>600 s</x:v>
      </x:c>
      <x:c r="E15" s="150" t="str">
        <x:v>OPTIONAL_STRESS_LIMIT</x:v>
      </x:c>
      <x:c r="F15" s="150" t="str">
        <x:v>N/D</x:v>
      </x:c>
      <x:c r="G15" s="150" t="str">
        <x:v>N/D</x:v>
      </x:c>
      <x:c r="H15" s="150" t="str">
        <x:v>N/D</x:v>
      </x:c>
      <x:c r="I15" s="150" t="str">
        <x:v>N/D</x:v>
      </x:c>
      <x:c r="J15" s="150" t="str">
        <x:v>464 s; watchdog/TraCI; nessun rerun.</x:v>
      </x:c>
    </x:row>
    <x:row r="17">
      <x:c r="A17" s="155" t="str">
        <x:v>Sintesi</x:v>
      </x:c>
      <x:c r="B17" s="155" t="str">
        <x:v>Valore</x:v>
      </x:c>
      <x:c r="C17" s="155" t="str">
        <x:v>Stato</x:v>
      </x:c>
      <x:c r="D17" s="155" t="str">
        <x:v>Nota</x:v>
      </x:c>
    </x:row>
    <x:row r="18">
      <x:c r="A18" s="18" t="str">
        <x:v>Determinismo</x:v>
      </x:c>
      <x:c r="B18" s="18" t="str">
        <x:v>2/2</x:v>
      </x:c>
      <x:c r="C18" s="18" t="str">
        <x:v>PASS</x:v>
      </x:c>
      <x:c r="D18" s="18" t="str">
        <x:v>LOGICALLY_IDENTICAL</x:v>
      </x:c>
    </x:row>
    <x:row r="19">
      <x:c r="A19" s="18" t="str">
        <x:v>Runtime repeat</x:v>
      </x:c>
      <x:c r="B19" s="18" t="str">
        <x:v>3/3</x:v>
      </x:c>
      <x:c r="C19" s="18" t="str">
        <x:v>PASS</x:v>
      </x:c>
      <x:c r="D19" s="18" t="str">
        <x:v>Contatori funzionali identici</x:v>
      </x:c>
    </x:row>
    <x:row r="20">
      <x:c r="A20" s="18" t="str">
        <x:v>Nominal extended</x:v>
      </x:c>
      <x:c r="B20" s="18" t="str">
        <x:v>5/5</x:v>
      </x:c>
      <x:c r="C20" s="18" t="str">
        <x:v>PASS</x:v>
      </x:c>
      <x:c r="D20" s="18" t="str">
        <x:v>600 s, lag 0, violazioni 0</x:v>
      </x:c>
    </x:row>
    <x:row r="21">
      <x:c r="A21" s="18" t="str">
        <x:v>Task nominal extended</x:v>
      </x:c>
      <x:c r="B21" s="18" t="n">
        <x:v>96337</x:v>
      </x:c>
      <x:c r="C21" s="18" t="str">
        <x:v>—</x:v>
      </x:c>
      <x:c r="D21" s="18" t="str">
        <x:v>Somma cinque run</x:v>
      </x:c>
    </x:row>
    <x:row r="22">
      <x:c r="A22" s="18" t="str">
        <x:v>Stale nominal extended</x:v>
      </x:c>
      <x:c r="B22" s="18" t="n">
        <x:v>53</x:v>
      </x:c>
      <x:c r="C22" s="18" t="str">
        <x:v>0.880252%</x:v>
      </x:c>
      <x:c r="D22" s="18" t="str">
        <x:v>Pesato sui job submitted</x:v>
      </x:c>
    </x:row>
    <x:row r="23">
      <x:c r="A23" s="18" t="str">
        <x:v>Stress extended</x:v>
      </x:c>
      <x:c r="B23" s="18" t="str">
        <x:v>464/600 s</x:v>
      </x:c>
      <x:c r="C23" s="18" t="str">
        <x:v>OPTIONAL_STRESS_LIMIT</x:v>
      </x:c>
      <x:c r="D23" s="18" t="str">
        <x:v>Profilo high_density non stabile</x:v>
      </x:c>
    </x:row>
    <x:row r="24">
      <x:c r="A24" s="18" t="str">
        <x:v>Stato corrente</x:v>
      </x:c>
      <x:c r="B24" s="18" t="str">
        <x:v>G05 chiusa</x:v>
      </x:c>
      <x:c r="C24" s="18" t="str">
        <x:v>PASS_WITH_RESOURCE_AND_TEMPORAL_LIMITS</x:v>
      </x:c>
      <x:c r="D24" s="18" t="str">
        <x:v>G06 chiusa; prossimo passo audit residui, eventuali G04-R, G02B e G07.</x:v>
      </x:c>
      <x:c r="E24"/>
      <x:c r="F24"/>
      <x:c r="G24"/>
      <x:c r="H24"/>
      <x:c r="I24"/>
      <x:c r="J24"/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13" hidden="0" customWidth="1"/>
    <x:col min="5" max="5" width="18" hidden="0" customWidth="1"/>
    <x:col min="6" max="6" width="24" hidden="0" customWidth="1"/>
    <x:col min="7" max="7" width="12" hidden="0" customWidth="1"/>
    <x:col min="8" max="8" width="16" hidden="0" customWidth="1"/>
    <x:col min="9" max="9" width="20" hidden="0" customWidth="1"/>
    <x:col min="10" max="10" width="32" hidden="0" customWidth="1"/>
  </x:cols>
  <x:sheetData>
    <x:row r="1">
      <x:c r="A1" s="197" t="str">
        <x:v>G04 — riepilogo operativo</x:v>
      </x:c>
      <x:c r="B1" s="197"/>
      <x:c r="C1" s="197"/>
      <x:c r="D1" s="197"/>
      <x:c r="E1" s="197"/>
      <x:c r="F1" s="197"/>
      <x:c r="G1" s="197"/>
      <x:c r="H1" s="197"/>
      <x:c r="I1" s="197"/>
      <x:c r="J1" s="197"/>
    </x:row>
    <x:row r="2">
      <x:c r="A2" s="201" t="str">
        <x:v>PASS_WITH_OBSERVABILITY_LIMITS: T-093 recuperato in G05; G06 chiusa; T-091 e T-094 passano all’audit residuo.</x:v>
      </x:c>
      <x:c r="B2" s="201"/>
      <x:c r="C2" s="201"/>
      <x:c r="D2" s="201"/>
      <x:c r="E2" s="201"/>
      <x:c r="F2" s="201"/>
      <x:c r="G2" s="201"/>
      <x:c r="H2" s="201"/>
      <x:c r="I2" s="201"/>
      <x:c r="J2" s="201"/>
    </x:row>
    <x:row r="4">
      <x:c r="A4" s="203" t="str">
        <x:v>Run</x:v>
      </x:c>
      <x:c r="B4" s="203" t="str">
        <x:v>Config</x:v>
      </x:c>
      <x:c r="C4" s="203" t="str">
        <x:v>Stato</x:v>
      </x:c>
      <x:c r="D4" s="203" t="str">
        <x:v>Task</x:v>
      </x:c>
      <x:c r="E4" s="203" t="str">
        <x:v>GA sub/comp/appl</x:v>
      </x:c>
      <x:c r="F4" s="203" t="str">
        <x:v>Stale</x:v>
      </x:c>
      <x:c r="G4" s="203" t="str">
        <x:v>Stale %</x:v>
      </x:c>
      <x:c r="H4" s="203" t="str">
        <x:v>Runtime medio</x:v>
      </x:c>
      <x:c r="I4" s="203" t="str">
        <x:v>Assegnazioni</x:v>
      </x:c>
      <x:c r="J4" s="203" t="str">
        <x:v>Nota</x:v>
      </x:c>
    </x:row>
    <x:row r="5">
      <x:c r="A5" s="166" t="str">
        <x:v>M-BACKGROUND-01</x:v>
      </x:c>
      <x:c r="B5" s="167" t="str">
        <x:v>CFG-M-BACKGROUND</x:v>
      </x:c>
      <x:c r="C5" s="205" t="str">
        <x:v>PASS</x:v>
      </x:c>
      <x:c r="D5" s="167" t="n">
        <x:v>5901</x:v>
      </x:c>
      <x:c r="E5" s="167" t="str">
        <x:v>416/416/411</x:v>
      </x:c>
      <x:c r="F5" s="167" t="n">
        <x:v>5</x:v>
      </x:c>
      <x:c r="G5" s="222" t="n">
        <x:v>1.201923</x:v>
      </x:c>
      <x:c r="H5" s="222" t="n">
        <x:v>0.04782185</x:v>
      </x:c>
      <x:c r="I5" s="167" t="str">
        <x:v>L 13894</x:v>
      </x:c>
      <x:c r="J5" s="168" t="str">
        <x:v>LOCAL</x:v>
      </x:c>
    </x:row>
    <x:row r="6">
      <x:c r="A6" s="169" t="str">
        <x:v>M-RSU0-01</x:v>
      </x:c>
      <x:c r="B6" s="170" t="str">
        <x:v>CFG-M-RSU0</x:v>
      </x:c>
      <x:c r="C6" s="188" t="str">
        <x:v>PASS</x:v>
      </x:c>
      <x:c r="D6" s="170" t="n">
        <x:v>5299</x:v>
      </x:c>
      <x:c r="E6" s="170" t="str">
        <x:v>370/370/369</x:v>
      </x:c>
      <x:c r="F6" s="170" t="n">
        <x:v>1</x:v>
      </x:c>
      <x:c r="G6" s="223" t="n">
        <x:v>0.27027</x:v>
      </x:c>
      <x:c r="H6" s="223" t="n">
        <x:v>0.058549806</x:v>
      </x:c>
      <x:c r="I6" s="170" t="str">
        <x:v>L 11234</x:v>
      </x:c>
      <x:c r="J6" s="171" t="str">
        <x:v>EDGE/CLOUD candidati</x:v>
      </x:c>
    </x:row>
    <x:row r="7">
      <x:c r="A7" s="169" t="str">
        <x:v>M-RSU1-01</x:v>
      </x:c>
      <x:c r="B7" s="170" t="str">
        <x:v>CFG-M-RSU1</x:v>
      </x:c>
      <x:c r="C7" s="188" t="str">
        <x:v>PASS</x:v>
      </x:c>
      <x:c r="D7" s="170" t="n">
        <x:v>2887</x:v>
      </x:c>
      <x:c r="E7" s="170" t="str">
        <x:v>427/427/427</x:v>
      </x:c>
      <x:c r="F7" s="170" t="n">
        <x:v>0</x:v>
      </x:c>
      <x:c r="G7" s="223" t="n">
        <x:v>0</x:v>
      </x:c>
      <x:c r="H7" s="223" t="n">
        <x:v>0.028549481</x:v>
      </x:c>
      <x:c r="I7" s="170" t="str">
        <x:v>L 7079 / C 2</x:v>
      </x:c>
      <x:c r="J7" s="171" t="str">
        <x:v>Cloud geometrico</x:v>
      </x:c>
    </x:row>
    <x:row r="8">
      <x:c r="A8" s="169" t="str">
        <x:v>M-SWITCH-01</x:v>
      </x:c>
      <x:c r="B8" s="170" t="str">
        <x:v>CFG-M-SWITCH</x:v>
      </x:c>
      <x:c r="C8" s="207" t="str">
        <x:v>PASS_CON_LIMITAZIONE</x:v>
      </x:c>
      <x:c r="D8" s="170" t="n">
        <x:v>6141</x:v>
      </x:c>
      <x:c r="E8" s="170" t="str">
        <x:v>309/309/294</x:v>
      </x:c>
      <x:c r="F8" s="170" t="n">
        <x:v>15</x:v>
      </x:c>
      <x:c r="G8" s="223" t="n">
        <x:v>4.854369</x:v>
      </x:c>
      <x:c r="H8" s="223" t="n">
        <x:v>0.090603552</x:v>
      </x:c>
      <x:c r="I8" s="170" t="str">
        <x:v>L 9418</x:v>
      </x:c>
      <x:c r="J8" s="171" t="str">
        <x:v>0 transizioni</x:v>
      </x:c>
    </x:row>
    <x:row r="9">
      <x:c r="A9" s="172" t="str">
        <x:v>M-V2V-01</x:v>
      </x:c>
      <x:c r="B9" s="173" t="str">
        <x:v>CFG-M-V2V</x:v>
      </x:c>
      <x:c r="C9" s="190" t="str">
        <x:v>PASS_CON_LIMITAZIONE</x:v>
      </x:c>
      <x:c r="D9" s="173" t="n">
        <x:v>9396</x:v>
      </x:c>
      <x:c r="E9" s="173" t="str">
        <x:v>193/193/100</x:v>
      </x:c>
      <x:c r="F9" s="173" t="n">
        <x:v>93</x:v>
      </x:c>
      <x:c r="G9" s="224" t="n">
        <x:v>48.186528</x:v>
      </x:c>
      <x:c r="H9" s="224" t="n">
        <x:v>0.367724152</x:v>
      </x:c>
      <x:c r="I9" s="173" t="str">
        <x:v>L 2096</x:v>
      </x:c>
      <x:c r="J9" s="174" t="str">
        <x:v>0 VEHICLE applicate</x:v>
      </x:c>
    </x:row>
    <x:row r="12">
      <x:c r="A12" s="203" t="str">
        <x:v>Test</x:v>
      </x:c>
      <x:c r="B12" s="203" t="str">
        <x:v>Funzione</x:v>
      </x:c>
      <x:c r="C12" s="203" t="str">
        <x:v>Verdetto</x:v>
      </x:c>
      <x:c r="D12" s="203" t="str">
        <x:v>Test</x:v>
      </x:c>
      <x:c r="E12" s="203" t="str">
        <x:v>Funzione</x:v>
      </x:c>
      <x:c r="F12" s="203" t="str">
        <x:v>Verdetto</x:v>
      </x:c>
    </x:row>
    <x:row r="13">
      <x:c r="A13" s="166" t="str">
        <x:v>T-090</x:v>
      </x:c>
      <x:c r="B13" s="167" t="str">
        <x:v>LOCAL</x:v>
      </x:c>
      <x:c r="C13" s="205" t="str">
        <x:v>PASS</x:v>
      </x:c>
      <x:c r="D13" s="167" t="str">
        <x:v>T-095</x:v>
      </x:c>
      <x:c r="E13" s="167" t="str">
        <x:v>phiLink</x:v>
      </x:c>
      <x:c r="F13" s="209" t="str">
        <x:v>PASS_CON_LIMITAZIONE</x:v>
      </x:c>
    </x:row>
    <x:row r="14">
      <x:c r="A14" s="169" t="str">
        <x:v>T-091</x:v>
      </x:c>
      <x:c r="B14" s="170" t="str">
        <x:v>EDGE</x:v>
      </x:c>
      <x:c r="C14" s="211" t="str">
        <x:v>EVIDENZA_PARZIALE</x:v>
      </x:c>
      <x:c r="D14" s="170" t="str">
        <x:v>T-096</x:v>
      </x:c>
      <x:c r="E14" s="170" t="str">
        <x:v>phiHo</x:v>
      </x:c>
      <x:c r="F14" s="213" t="str">
        <x:v>EVIDENZA_PARZIALE</x:v>
      </x:c>
    </x:row>
    <x:row r="15">
      <x:c r="A15" s="169" t="str">
        <x:v>T-092</x:v>
      </x:c>
      <x:c r="B15" s="170" t="str">
        <x:v>CLOUD gateway</x:v>
      </x:c>
      <x:c r="C15" s="207" t="str">
        <x:v>PASS_CON_LIMITAZIONE</x:v>
      </x:c>
      <x:c r="D15" s="170" t="str">
        <x:v>T-097</x:v>
      </x:c>
      <x:c r="E15" s="170" t="str">
        <x:v>Pmob</x:v>
      </x:c>
      <x:c r="F15" s="215" t="str">
        <x:v>PASS_CON_LIMITAZIONE</x:v>
      </x:c>
    </x:row>
    <x:row r="16">
      <x:c r="A16" s="169" t="str">
        <x:v>T-093</x:v>
      </x:c>
      <x:c r="B16" s="170" t="str">
        <x:v>V2V scalar</x:v>
      </x:c>
      <x:c r="C16" s="207" t="str">
        <x:v>PASS_RECOVERED</x:v>
      </x:c>
      <x:c r="D16" s="170" t="str">
        <x:v>T-098</x:v>
      </x:c>
      <x:c r="E16" s="170" t="str">
        <x:v>Gateway switch</x:v>
      </x:c>
      <x:c r="F16" s="217" t="str">
        <x:v>NON_OSSERVATO</x:v>
      </x:c>
    </x:row>
    <x:row r="17">
      <x:c r="A17" s="172" t="str">
        <x:v>T-094</x:v>
      </x:c>
      <x:c r="B17" s="173" t="str">
        <x:v>Coverage insufficient</x:v>
      </x:c>
      <x:c r="C17" s="219" t="str">
        <x:v>NON_OSSERVATO</x:v>
      </x:c>
      <x:c r="D17" s="173" t="str">
        <x:v>T-099</x:v>
      </x:c>
      <x:c r="E17" s="173" t="str">
        <x:v>No placeholder</x:v>
      </x:c>
      <x:c r="F17" s="221" t="str">
        <x:v>PASS</x:v>
      </x:c>
    </x:row>
    <x:row r="20">
      <x:c r="A20" s="184" t="str">
        <x:v>Limite</x:v>
      </x:c>
      <x:c r="B20" s="186" t="str">
        <x:v>Interpretazione</x:v>
      </x:c>
    </x:row>
    <x:row r="21">
      <x:c r="A21" s="169" t="str">
        <x:v>Gateway switch</x:v>
      </x:c>
      <x:c r="B21" s="171" t="str">
        <x:v>NON_OSSERVATO: nessuna transizione nel CSV.</x:v>
      </x:c>
    </x:row>
    <x:row r="22">
      <x:c r="A22" s="169" t="str">
        <x:v>V2V</x:v>
      </x:c>
      <x:c r="B22" s="171" t="str">
        <x:v>Metriche finite, ma nessuna decisione VEHICLE applicata.</x:v>
      </x:c>
    </x:row>
    <x:row r="23">
      <x:c r="A23" s="169" t="str">
        <x:v>Stale V2V</x:v>
      </x:c>
      <x:c r="B23" s="171" t="str">
        <x:v>48,186528%; lag 0 e violazioni 0.</x:v>
      </x:c>
    </x:row>
    <x:row r="24">
      <x:c r="A24" s="172" t="str">
        <x:v>Completion</x:v>
      </x:c>
      <x:c r="B24" s="174" t="str">
        <x:v>NOT_IMPLEMENTED: non calcolare completion rate.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2" hidden="0" customWidth="1"/>
    <x:col min="4" max="4" width="11" hidden="0" customWidth="1"/>
    <x:col min="5" max="5" width="13" hidden="0" customWidth="1"/>
    <x:col min="6" max="6" width="11" hidden="0" customWidth="1"/>
    <x:col min="7" max="7" width="13" hidden="0" customWidth="1"/>
    <x:col min="8" max="8" width="24" hidden="0" customWidth="1"/>
    <x:col min="9" max="9" width="11" hidden="0" customWidth="1"/>
    <x:col min="10" max="10" width="36" hidden="0" customWidth="1"/>
  </x:cols>
  <x:sheetData>
    <x:row r="1">
      <x:c r="A1" s="248" t="str">
        <x:v>G05 — riepilogo operativo</x:v>
      </x:c>
      <x:c r="B1" s="248"/>
      <x:c r="C1" s="248"/>
      <x:c r="D1" s="248"/>
      <x:c r="E1" s="248"/>
      <x:c r="F1" s="248"/>
      <x:c r="G1" s="248"/>
      <x:c r="H1" s="248"/>
      <x:c r="I1" s="248"/>
      <x:c r="J1" s="248"/>
    </x:row>
    <x:row r="2">
      <x:c r="A2" s="250" t="str">
        <x:v>PASS_WITH_RESOURCE_AND_TEMPORAL_LIMITS: 6/6 run tecniche PASS; LOCALCPU riprodotta; G06 chiusa.</x:v>
      </x:c>
      <x:c r="B2" s="250"/>
      <x:c r="C2" s="250"/>
      <x:c r="D2" s="250"/>
      <x:c r="E2" s="250"/>
      <x:c r="F2" s="250"/>
      <x:c r="G2" s="250"/>
      <x:c r="H2" s="250"/>
      <x:c r="I2" s="250"/>
      <x:c r="J2" s="250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256" t="str">
        <x:v>Run</x:v>
      </x:c>
      <x:c r="B4" s="256" t="str">
        <x:v>Config</x:v>
      </x:c>
      <x:c r="C4" s="256" t="str">
        <x:v>Stato</x:v>
      </x:c>
      <x:c r="D4" s="256" t="str">
        <x:v>Task</x:v>
      </x:c>
      <x:c r="E4" s="256" t="str">
        <x:v>GA sub/appl</x:v>
      </x:c>
      <x:c r="F4" s="256" t="str">
        <x:v>Stale %</x:v>
      </x:c>
      <x:c r="G4" s="256" t="str">
        <x:v>Runtime medio</x:v>
      </x:c>
      <x:c r="H4" s="256" t="str">
        <x:v>Assegnazioni</x:v>
      </x:c>
      <x:c r="I4" s="256" t="str">
        <x:v>Target</x:v>
      </x:c>
      <x:c r="J4" s="256" t="str">
        <x:v>Nota</x:v>
      </x:c>
    </x:row>
    <x:row r="5">
      <x:c r="A5" s="18" t="str">
        <x:v>R-LOCALCPU-01</x:v>
      </x:c>
      <x:c r="B5" s="18" t="str">
        <x:v>CFG-R-LOCALCPU</x:v>
      </x:c>
      <x:c r="C5" s="18" t="str">
        <x:v>PASS_WITH_REPRODUCIBLE_TEMPORAL_LIMIT</x:v>
      </x:c>
      <x:c r="D5" s="18" t="n">
        <x:v>5640</x:v>
      </x:c>
      <x:c r="E5" s="18" t="str">
        <x:v>36/27</x:v>
      </x:c>
      <x:c r="F5" s="245" t="n">
        <x:v>25</x:v>
      </x:c>
      <x:c r="G5" s="245" t="n">
        <x:v>0.841311894</x:v>
      </x:c>
      <x:c r="H5" s="18" t="str">
        <x:v>L 4 / V 2 / E 0 / C 0</x:v>
      </x:c>
      <x:c r="I5" s="18" t="str">
        <x:v>Sì</x:v>
      </x:c>
      <x:c r="J5" s="18" t="str">
        <x:v>La CPU locale dimezzata produce offloading remoto in tre osservazioni, ma il runtime smette di applicare strategie molto prima della fine.</x:v>
      </x:c>
    </x:row>
    <x:row r="6">
      <x:c r="A6" s="18" t="str">
        <x:v>R-EDGECPU-01</x:v>
      </x:c>
      <x:c r="B6" s="18" t="str">
        <x:v>CFG-R-EDGECPU</x:v>
      </x:c>
      <x:c r="C6" s="18" t="str">
        <x:v>PASS_TECHNICAL_TARGET_RESOURCE_NOT_EXERCISED</x:v>
      </x:c>
      <x:c r="D6" s="18" t="n">
        <x:v>5640</x:v>
      </x:c>
      <x:c r="E6" s="18" t="str">
        <x:v>253/215</x:v>
      </x:c>
      <x:c r="F6" s="245" t="n">
        <x:v>15.019763</x:v>
      </x:c>
      <x:c r="G6" s="245" t="n">
        <x:v>0.117136995</x:v>
      </x:c>
      <x:c r="H6" s="18" t="str">
        <x:v>L 10831 / V 0 / E 0 / C 0</x:v>
      </x:c>
      <x:c r="I6" s="18" t="str">
        <x:v>No</x:v>
      </x:c>
      <x:c r="J6" s="18" t="str">
        <x:v>La CPU EDGE ridotta viene caricata correttamente, ma EDGE non viene selezionato nelle strategie applicate.</x:v>
      </x:c>
    </x:row>
    <x:row r="7">
      <x:c r="A7" s="18" t="str">
        <x:v>R-CLOUDCPU-01</x:v>
      </x:c>
      <x:c r="B7" s="18" t="str">
        <x:v>CFG-R-CLOUDCPU</x:v>
      </x:c>
      <x:c r="C7" s="18" t="str">
        <x:v>PASS_TECHNICAL_TARGET_RESOURCE_NOT_EXERCISED</x:v>
      </x:c>
      <x:c r="D7" s="18" t="n">
        <x:v>5640</x:v>
      </x:c>
      <x:c r="E7" s="18" t="str">
        <x:v>235/184</x:v>
      </x:c>
      <x:c r="F7" s="245" t="n">
        <x:v>21.702128</x:v>
      </x:c>
      <x:c r="G7" s="245" t="n">
        <x:v>0.116567889</x:v>
      </x:c>
      <x:c r="H7" s="18" t="str">
        <x:v>L 8142 / V 0 / E 0 / C 0</x:v>
      </x:c>
      <x:c r="I7" s="18" t="str">
        <x:v>No</x:v>
      </x:c>
      <x:c r="J7" s="18" t="str">
        <x:v>La CPU CLOUD ridotta viene caricata correttamente, ma CLOUD non viene selezionato nelle strategie applicate.</x:v>
      </x:c>
    </x:row>
    <x:row r="8">
      <x:c r="A8" s="18" t="str">
        <x:v>R-CELLBW-01</x:v>
      </x:c>
      <x:c r="B8" s="18" t="str">
        <x:v>CFG-R-CELLBW</x:v>
      </x:c>
      <x:c r="C8" s="18" t="str">
        <x:v>PASS_TECHNICAL_TARGET_LINK_NOT_EXERCISED</x:v>
      </x:c>
      <x:c r="D8" s="18" t="n">
        <x:v>5640</x:v>
      </x:c>
      <x:c r="E8" s="18" t="str">
        <x:v>246/201</x:v>
      </x:c>
      <x:c r="F8" s="245" t="n">
        <x:v>18.292683</x:v>
      </x:c>
      <x:c r="G8" s="245" t="n">
        <x:v>0.108499519</x:v>
      </x:c>
      <x:c r="H8" s="18" t="str">
        <x:v>L 9408 / V 0 / E 0 / C 0</x:v>
      </x:c>
      <x:c r="I8" s="18" t="str">
        <x:v>No</x:v>
      </x:c>
      <x:c r="J8" s="18" t="str">
        <x:v>La banda CELL ridotta non viene attraversata da assegnazioni EDGE o CLOUD applicate.</x:v>
      </x:c>
    </x:row>
    <x:row r="9">
      <x:c r="A9" s="18" t="str">
        <x:v>R-RTT-01</x:v>
      </x:c>
      <x:c r="B9" s="18" t="str">
        <x:v>CFG-R-RTT</x:v>
      </x:c>
      <x:c r="C9" s="18" t="str">
        <x:v>PASS_STABLE_TARGET_LINK_NOT_EXERCISED</x:v>
      </x:c>
      <x:c r="D9" s="18" t="n">
        <x:v>5640</x:v>
      </x:c>
      <x:c r="E9" s="18" t="str">
        <x:v>326/325</x:v>
      </x:c>
      <x:c r="F9" s="245" t="n">
        <x:v>0.306748</x:v>
      </x:c>
      <x:c r="G9" s="245" t="n">
        <x:v>0.069136274</x:v>
      </x:c>
      <x:c r="H9" s="18" t="str">
        <x:v>L 10389 / V 1 / E 0 / C 0</x:v>
      </x:c>
      <x:c r="I9" s="18" t="str">
        <x:v>No</x:v>
      </x:c>
      <x:c r="J9" s="18" t="str">
        <x:v>La run resta stabile, ma il RTT CELL aumentato non viene realmente esercitato da scelte EDGE o CLOUD.</x:v>
      </x:c>
    </x:row>
    <x:row r="10">
      <x:c r="A10" s="18" t="str">
        <x:v>R-V2VBW-01</x:v>
      </x:c>
      <x:c r="B10" s="18" t="str">
        <x:v>CFG-R-V2VBW</x:v>
      </x:c>
      <x:c r="C10" s="18" t="str">
        <x:v>PASS_WITH_STRESS_LIMIT_TARGET_NOT_EXERCISED</x:v>
      </x:c>
      <x:c r="D10" s="18" t="n">
        <x:v>9396</x:v>
      </x:c>
      <x:c r="E10" s="18" t="str">
        <x:v>141/75</x:v>
      </x:c>
      <x:c r="F10" s="245" t="n">
        <x:v>46.808511</x:v>
      </x:c>
      <x:c r="G10" s="245" t="n">
        <x:v>0.556510694</x:v>
      </x:c>
      <x:c r="H10" s="18" t="str">
        <x:v>L 2291 / V 0 / E 0 / C 0</x:v>
      </x:c>
      <x:c r="I10" s="18" t="str">
        <x:v>No</x:v>
      </x:c>
      <x:c r="J10" s="18" t="str">
        <x:v>Lo stress profile high_density aumenta runtime e stale ratio; nessuna assegnazione VEHICLE viene applicata.</x:v>
      </x:c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</x:row>
    <x:row r="12">
      <x:c r="A12" s="252" t="str">
        <x:v>R-LOCALCPU — tre osservazioni</x:v>
      </x:c>
      <x:c r="B12" s="252"/>
      <x:c r="C12" s="252"/>
      <x:c r="D12" s="252"/>
      <x:c r="E12" s="252"/>
      <x:c r="F12" s="252"/>
      <x:c r="G12" s="252"/>
      <x:c r="H12" s="252"/>
      <x:c r="I12" s="252"/>
      <x:c r="J12" s="252"/>
    </x:row>
    <x:row r="13">
      <x:c r="A13" s="256" t="str">
        <x:v>Osservazione</x:v>
      </x:c>
      <x:c r="B13" s="256" t="str">
        <x:v>L/V/E/C</x:v>
      </x:c>
      <x:c r="C13" s="256" t="str">
        <x:v>Stale %</x:v>
      </x:c>
      <x:c r="D13" s="256" t="str">
        <x:v>Ultimo apply</x:v>
      </x:c>
      <x:c r="E13" s="256" t="str">
        <x:v>Gap finale</x:v>
      </x:c>
      <x:c r="F13" s="256" t="str">
        <x:v>Runtime medio</x:v>
      </x:c>
      <x:c r="G13" s="256" t="str">
        <x:v>P95</x:v>
      </x:c>
      <x:c r="H13" s="256" t="str">
        <x:v>Esito</x:v>
      </x:c>
      <x:c r="I13" s="18"/>
      <x:c r="J13" s="18"/>
    </x:row>
    <x:row r="14">
      <x:c r="A14" s="18" t="str">
        <x:v>ORIGINAL_BATCH</x:v>
      </x:c>
      <x:c r="B14" s="18" t="str">
        <x:v>4/2/0/0</x:v>
      </x:c>
      <x:c r="C14" s="245" t="n">
        <x:v>25</x:v>
      </x:c>
      <x:c r="D14" s="245" t="n">
        <x:v>7.7</x:v>
      </x:c>
      <x:c r="E14" s="245" t="n">
        <x:v>172.3</x:v>
      </x:c>
      <x:c r="F14" s="245" t="n">
        <x:v>0.841311894</x:v>
      </x:c>
      <x:c r="G14" s="245" t="n">
        <x:v>6.5993911</x:v>
      </x:c>
      <x:c r="H14" s="18" t="str">
        <x:v>LONG_FINAL_GAP</x:v>
      </x:c>
      <x:c r="I14" s="18"/>
      <x:c r="J14" s="18"/>
    </x:row>
    <x:row r="15">
      <x:c r="A15" s="18" t="str">
        <x:v>RECOVERY_A</x:v>
      </x:c>
      <x:c r="B15" s="18" t="str">
        <x:v>9/23/1/2</x:v>
      </x:c>
      <x:c r="C15" s="245" t="n">
        <x:v>25.641026</x:v>
      </x:c>
      <x:c r="D15" s="245" t="n">
        <x:v>24.9</x:v>
      </x:c>
      <x:c r="E15" s="245" t="n">
        <x:v>155.1</x:v>
      </x:c>
      <x:c r="F15" s="245" t="n">
        <x:v>0.416934344</x:v>
      </x:c>
      <x:c r="G15" s="245" t="n">
        <x:v>2.6708256</x:v>
      </x:c>
      <x:c r="H15" s="18" t="str">
        <x:v>LONG_FINAL_GAP</x:v>
      </x:c>
      <x:c r="I15" s="18"/>
      <x:c r="J15" s="18"/>
    </x:row>
    <x:row r="16">
      <x:c r="A16" s="18" t="str">
        <x:v>RECOVERY_B</x:v>
      </x:c>
      <x:c r="B16" s="18" t="str">
        <x:v>10/9/3/2</x:v>
      </x:c>
      <x:c r="C16" s="245" t="n">
        <x:v>25.641026</x:v>
      </x:c>
      <x:c r="D16" s="245" t="n">
        <x:v>12.1</x:v>
      </x:c>
      <x:c r="E16" s="245" t="n">
        <x:v>167.9</x:v>
      </x:c>
      <x:c r="F16" s="245" t="n">
        <x:v>0.405645003</x:v>
      </x:c>
      <x:c r="G16" s="245" t="n">
        <x:v>2.9906015</x:v>
      </x:c>
      <x:c r="H16" s="18" t="str">
        <x:v>LONG_FINAL_GAP</x:v>
      </x:c>
      <x:c r="I16" s="18"/>
      <x:c r="J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>
      <x:c r="A18" s="252" t="str">
        <x:v>Evidenze e limiti</x:v>
      </x:c>
      <x:c r="B18" s="252"/>
      <x:c r="C18" s="252"/>
      <x:c r="D18" s="252"/>
      <x:c r="E18" s="252"/>
      <x:c r="F18" s="252"/>
      <x:c r="G18" s="252"/>
      <x:c r="H18" s="252"/>
      <x:c r="I18" s="252"/>
      <x:c r="J18" s="252"/>
    </x:row>
    <x:row r="19">
      <x:c r="A19" s="256" t="str">
        <x:v>Voce</x:v>
      </x:c>
      <x:c r="B19" s="256" t="str">
        <x:v>Stato</x:v>
      </x:c>
      <x:c r="C19" s="256" t="str">
        <x:v>Interpretazione</x:v>
      </x:c>
      <x:c r="D19" s="18"/>
      <x:c r="E19" s="18"/>
      <x:c r="F19" s="18"/>
      <x:c r="G19" s="18"/>
      <x:c r="H19" s="18"/>
      <x:c r="I19" s="18"/>
      <x:c r="J19" s="18"/>
    </x:row>
    <x:row r="20">
      <x:c r="A20" s="18" t="str">
        <x:v>T-091</x:v>
      </x:c>
      <x:c r="B20" s="18" t="str">
        <x:v>EVIDENZA_PARZIALE</x:v>
      </x:c>
      <x:c r="C20" s="18" t="str">
        <x:v>EDGE applicato nelle recovery LOCALCPU, non nella variante EDGECPU.</x:v>
      </x:c>
      <x:c r="D20" s="18"/>
      <x:c r="E20" s="18"/>
      <x:c r="F20" s="18"/>
      <x:c r="G20" s="18"/>
      <x:c r="H20" s="18"/>
      <x:c r="I20" s="18"/>
      <x:c r="J20" s="18"/>
    </x:row>
    <x:row r="21">
      <x:c r="A21" s="18" t="str">
        <x:v>T-093</x:v>
      </x:c>
      <x:c r="B21" s="18" t="str">
        <x:v>PASS_RECOVERED</x:v>
      </x:c>
      <x:c r="C21" s="18" t="str">
        <x:v>VEHICLE applicato con modello V2V.</x:v>
      </x:c>
      <x:c r="D21" s="18"/>
      <x:c r="E21" s="18"/>
      <x:c r="F21" s="18"/>
      <x:c r="G21" s="18"/>
      <x:c r="H21" s="18"/>
      <x:c r="I21" s="18"/>
      <x:c r="J21" s="18"/>
    </x:row>
    <x:row r="22">
      <x:c r="A22" s="18" t="str">
        <x:v>T-094</x:v>
      </x:c>
      <x:c r="B22" s="18" t="str">
        <x:v>NON_OSSERVATO</x:v>
      </x:c>
      <x:c r="C22" s="18" t="str">
        <x:v>Nessun coverage insufficient applicato.</x:v>
      </x:c>
      <x:c r="D22" s="18"/>
      <x:c r="E22" s="18"/>
      <x:c r="F22" s="18"/>
      <x:c r="G22" s="18"/>
      <x:c r="H22" s="18"/>
      <x:c r="I22" s="18"/>
      <x:c r="J22" s="18"/>
    </x:row>
    <x:row r="23">
      <x:c r="A23" s="18" t="str">
        <x:v>Repair/fallback</x:v>
      </x:c>
      <x:c r="B23" s="18" t="str">
        <x:v>NOT_EXPOSED</x:v>
      </x:c>
      <x:c r="C23" s="18" t="str">
        <x:v>Nessun contatore causale strutturato nei trace.</x:v>
      </x:c>
      <x:c r="D23" s="18"/>
      <x:c r="E23" s="18"/>
      <x:c r="F23" s="18"/>
      <x:c r="G23" s="18"/>
      <x:c r="H23" s="18"/>
      <x:c r="I23" s="18"/>
      <x:c r="J23" s="18"/>
    </x:row>
    <x:row r="24">
      <x:c r="A24" s="18" t="str">
        <x:v>Confronto G02</x:v>
      </x:c>
      <x:c r="B24" s="18" t="str">
        <x:v>NORMALIZZATO</x:v>
      </x:c>
      <x:c r="C24" s="18" t="str">
        <x:v>Durata diversa e JAR non byte-identico.</x:v>
      </x:c>
      <x:c r="D24" s="18"/>
      <x:c r="E24" s="18"/>
      <x:c r="F24" s="18"/>
      <x:c r="G24" s="18"/>
      <x:c r="H24" s="18"/>
      <x:c r="I24" s="18"/>
      <x:c r="J24" s="1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6" hidden="0" customWidth="1"/>
    <x:col min="3" max="3" width="50" hidden="0" customWidth="1"/>
    <x:col min="4" max="4" width="32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24" hidden="0" customWidth="1"/>
    <x:col min="10" max="10" width="50" hidden="0" customWidth="1"/>
  </x:cols>
  <x:sheetData>
    <x:row r="1" ht="38.400001525878906" hidden="0" customHeight="1">
      <x:c r="A1" s="267" t="str">
        <x:v>G06 — riepilogo operativo</x:v>
      </x:c>
      <x:c r="B1" s="267"/>
      <x:c r="C1" s="267"/>
      <x:c r="D1" s="267"/>
      <x:c r="E1" s="267"/>
      <x:c r="F1" s="267"/>
      <x:c r="G1" s="267"/>
      <x:c r="H1" s="267"/>
      <x:c r="I1" s="267"/>
      <x:c r="J1" s="267"/>
    </x:row>
    <x:row r="2" ht="66" hidden="0" customHeight="1">
      <x:c r="A2" s="271" t="str">
        <x:v>PASS_WITH_CONTROLLED_STALE_AND_DOCUMENTED_LIMITS: forced-stale dimostrato; corpus cross-run completo; audit residui prossimo.</x:v>
      </x:c>
      <x:c r="B2" s="271"/>
      <x:c r="C2" s="271"/>
      <x:c r="D2" s="271"/>
      <x:c r="E2" s="271"/>
      <x:c r="F2" s="271"/>
      <x:c r="G2" s="271"/>
      <x:c r="H2" s="271"/>
      <x:c r="I2" s="271"/>
      <x:c r="J2" s="271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 ht="15" hidden="0" customHeight="1">
      <x:c r="A4" s="279" t="str">
        <x:v>Run</x:v>
      </x:c>
      <x:c r="B4" s="279" t="str">
        <x:v>Config</x:v>
      </x:c>
      <x:c r="C4" s="279" t="str">
        <x:v>Stato</x:v>
      </x:c>
      <x:c r="D4" s="279" t="str">
        <x:v>GA sub/comp/appl</x:v>
      </x:c>
      <x:c r="E4" s="279" t="str">
        <x:v>Stale</x:v>
      </x:c>
      <x:c r="F4" s="279" t="str">
        <x:v>Stale %</x:v>
      </x:c>
      <x:c r="G4" s="279" t="str">
        <x:v>Lag</x:v>
      </x:c>
      <x:c r="H4" s="279" t="str">
        <x:v>Violazioni</x:v>
      </x:c>
      <x:c r="I4" s="279" t="str">
        <x:v>Validator</x:v>
      </x:c>
      <x:c r="J4" s="279" t="str">
        <x:v>Nota</x:v>
      </x:c>
    </x:row>
    <x:row r="5" ht="15" hidden="0" customHeight="1">
      <x:c r="A5" s="283" t="str">
        <x:v>G-STALE-01</x:v>
      </x:c>
      <x:c r="B5" s="283" t="str">
        <x:v>CFG-G-STALE</x:v>
      </x:c>
      <x:c r="C5" s="283" t="str">
        <x:v>PASS_WITH_EXPECTED_CANONICAL_VALIDATOR_REJECTION</x:v>
      </x:c>
      <x:c r="D5" s="283" t="str">
        <x:v>33/33/0</x:v>
      </x:c>
      <x:c r="E5" s="283" t="n">
        <x:v>33</x:v>
      </x:c>
      <x:c r="F5" s="283" t="n">
        <x:v>100</x:v>
      </x:c>
      <x:c r="G5" s="283" t="n">
        <x:v>0</x:v>
      </x:c>
      <x:c r="H5" s="283" t="n">
        <x:v>0</x:v>
      </x:c>
      <x:c r="I5" s="283" t="str">
        <x:v>FAILED atteso</x:v>
      </x:c>
      <x:c r="J5" s="283" t="str">
        <x:v>Tutti i risultati stale; nessuna strategia precedente.</x:v>
      </x:c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</x:row>
    <x:row r="7" ht="28.799999237060547" hidden="0" customHeight="1">
      <x:c r="A7" s="275" t="str">
        <x:v>Copertura temporale cross-run</x:v>
      </x:c>
      <x:c r="B7" s="275"/>
      <x:c r="C7" s="275"/>
      <x:c r="D7" s="275"/>
      <x:c r="E7" s="275"/>
      <x:c r="F7" s="275"/>
      <x:c r="G7" s="275"/>
      <x:c r="H7" s="275"/>
      <x:c r="I7" s="275"/>
      <x:c r="J7" s="275"/>
    </x:row>
    <x:row r="8" ht="15" hidden="0" customHeight="1">
      <x:c r="A8" s="279" t="str">
        <x:v>Famiglia</x:v>
      </x:c>
      <x:c r="B8" s="279" t="str">
        <x:v>Conteggi</x:v>
      </x:c>
      <x:c r="C8" s="279" t="str">
        <x:v>Esito</x:v>
      </x:c>
      <x:c r="D8" s="279" t="str">
        <x:v>Nota</x:v>
      </x:c>
      <x:c r="E8" s="18"/>
      <x:c r="F8" s="18"/>
      <x:c r="G8" s="18"/>
      <x:c r="H8" s="18"/>
      <x:c r="I8" s="18"/>
      <x:c r="J8" s="18"/>
    </x:row>
    <x:row r="9" ht="15" hidden="0" customHeight="1">
      <x:c r="A9" s="283" t="str">
        <x:v>Trigger</x:v>
      </x:c>
      <x:c r="B9" s="283" t="str">
        <x:v>FIRST 104 / SCHEDULED 36.382</x:v>
      </x:c>
      <x:c r="C9" s="290" t="str">
        <x:v>PASS</x:v>
      </x:c>
      <x:c r="D9" s="283" t="str">
        <x:v>Entrambi osservati</x:v>
      </x:c>
      <x:c r="E9" s="18"/>
      <x:c r="F9" s="18"/>
      <x:c r="G9" s="18"/>
      <x:c r="H9" s="18"/>
      <x:c r="I9" s="18"/>
      <x:c r="J9" s="18"/>
    </x:row>
    <x:row r="10" ht="15" hidden="0" customHeight="1">
      <x:c r="A10" s="283" t="str">
        <x:v>Livelli</x:v>
      </x:c>
      <x:c r="B10" s="283" t="str">
        <x:v>U 104 / S 33.736 / M 2.493 / H 153</x:v>
      </x:c>
      <x:c r="C10" s="290" t="str">
        <x:v>PASS</x:v>
      </x:c>
      <x:c r="D10" s="283" t="str">
        <x:v>Quattro livelli</x:v>
      </x:c>
      <x:c r="E10" s="18"/>
      <x:c r="F10" s="18"/>
      <x:c r="G10" s="18"/>
      <x:c r="H10" s="18"/>
      <x:c r="I10" s="18"/>
      <x:c r="J10" s="18"/>
    </x:row>
    <x:row r="11" ht="15" hidden="0" customHeight="1">
      <x:c r="A11" s="283" t="str">
        <x:v>Riuso</x:v>
      </x:c>
      <x:c r="B11" s="283" t="str">
        <x:v>FIRST 104 / WARM 33.746 / PARTIAL 2.471 / COLD 165</x:v>
      </x:c>
      <x:c r="C11" s="290" t="str">
        <x:v>PASS</x:v>
      </x:c>
      <x:c r="D11" s="283" t="str">
        <x:v>Quattro modalità</x:v>
      </x:c>
      <x:c r="E11" s="18"/>
      <x:c r="F11" s="18"/>
      <x:c r="G11" s="18"/>
      <x:c r="H11" s="18"/>
      <x:c r="I11" s="18"/>
      <x:c r="J11" s="18"/>
    </x:row>
    <x:row r="12" ht="15" hidden="0" customHeight="1">
      <x:c r="A12" s="283" t="str">
        <x:v>Azioni</x:v>
      </x:c>
      <x:c r="B12" s="283" t="str">
        <x:v>FIRST 104 / KEEP 19 / CLAMP 36.363</x:v>
      </x:c>
      <x:c r="C12" s="290" t="str">
        <x:v>PASS</x:v>
      </x:c>
      <x:c r="D12" s="283" t="str">
        <x:v>Bounds violations 0</x:v>
      </x:c>
      <x:c r="E12" s="18"/>
      <x:c r="F12" s="18"/>
      <x:c r="G12" s="18"/>
      <x:c r="H12" s="18"/>
      <x:c r="I12" s="18"/>
      <x:c r="J12" s="18"/>
    </x:row>
    <x:row r="13" ht="15" hidden="0" customHeight="1">
      <x:c r="A13" s="283" t="str">
        <x:v>Correzioni</x:v>
      </x:c>
      <x:c r="B13" s="283" t="n">
        <x:v>22</x:v>
      </x:c>
      <x:c r="C13" s="290" t="str">
        <x:v>PASS_CORRECTION_OBSERVED</x:v>
      </x:c>
      <x:c r="D13" s="283" t="str">
        <x:v>Motivazioni presenti</x:v>
      </x:c>
      <x:c r="E13" s="18"/>
      <x:c r="F13" s="18"/>
      <x:c r="G13" s="18"/>
      <x:c r="H13" s="18"/>
      <x:c r="I13" s="18"/>
      <x:c r="J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</x:row>
    <x:row r="15" ht="15" hidden="0" customHeight="1">
      <x:c r="A15" s="275" t="str">
        <x:v>Verdetti e decisioni</x:v>
      </x:c>
      <x:c r="B15" s="275"/>
      <x:c r="C15" s="275"/>
      <x:c r="D15" s="275"/>
      <x:c r="E15" s="275"/>
      <x:c r="F15" s="275"/>
      <x:c r="G15" s="275"/>
      <x:c r="H15" s="275"/>
      <x:c r="I15" s="275"/>
      <x:c r="J15" s="275"/>
    </x:row>
    <x:row r="16" ht="15" hidden="0" customHeight="1">
      <x:c r="A16" s="279" t="str">
        <x:v>Voce</x:v>
      </x:c>
      <x:c r="B16" s="279" t="str">
        <x:v>Stato</x:v>
      </x:c>
      <x:c r="C16" s="279" t="str">
        <x:v>Interpretazione</x:v>
      </x:c>
      <x:c r="D16" s="18"/>
      <x:c r="E16" s="18"/>
      <x:c r="F16" s="18"/>
      <x:c r="G16" s="18"/>
      <x:c r="H16" s="18"/>
      <x:c r="I16" s="18"/>
      <x:c r="J16" s="18"/>
    </x:row>
    <x:row r="17" ht="15" hidden="0" customHeight="1">
      <x:c r="A17" s="283" t="str">
        <x:v>T-110–T-115</x:v>
      </x:c>
      <x:c r="B17" s="287" t="str">
        <x:v>PASS</x:v>
      </x:c>
      <x:c r="C17" s="283" t="str">
        <x:v>Dinamicità, riuso, azioni e bounds coperti.</x:v>
      </x:c>
      <x:c r="D17" s="18"/>
      <x:c r="E17" s="18"/>
      <x:c r="F17" s="18"/>
      <x:c r="G17" s="18"/>
      <x:c r="H17" s="18"/>
      <x:c r="I17" s="18"/>
      <x:c r="J17" s="18"/>
    </x:row>
    <x:row r="18" ht="26.399999618530273" hidden="0" customHeight="1">
      <x:c r="A18" s="283" t="str">
        <x:v>T-116</x:v>
      </x:c>
      <x:c r="B18" s="287" t="str">
        <x:v>PASS_WITH_FORCED_STALE_AND_NO_PRIOR_STRATEGY_LIMIT</x:v>
      </x:c>
      <x:c r="C18" s="283" t="str">
        <x:v>33/33 stale; keep-last non osservabile.</x:v>
      </x:c>
      <x:c r="D18" s="18"/>
      <x:c r="E18" s="18"/>
      <x:c r="F18" s="18"/>
      <x:c r="G18" s="18"/>
      <x:c r="H18" s="18"/>
      <x:c r="I18" s="18"/>
      <x:c r="J18" s="18"/>
    </x:row>
    <x:row r="19" ht="15" hidden="0" customHeight="1">
      <x:c r="A19" s="283" t="str">
        <x:v>T-117</x:v>
      </x:c>
      <x:c r="B19" s="287" t="str">
        <x:v>PASS</x:v>
      </x:c>
      <x:c r="C19" s="283" t="str">
        <x:v>FIRST_RUN e SCHEDULED osservati.</x:v>
      </x:c>
      <x:c r="D19" s="18"/>
      <x:c r="E19" s="18"/>
      <x:c r="F19" s="18"/>
      <x:c r="G19" s="18"/>
      <x:c r="H19" s="18"/>
      <x:c r="I19" s="18"/>
      <x:c r="J19" s="18"/>
    </x:row>
    <x:row r="20" ht="15" hidden="0" customHeight="1">
      <x:c r="A20" s="283" t="str">
        <x:v>T-118</x:v>
      </x:c>
      <x:c r="B20" s="287" t="str">
        <x:v>NOT_APPLICABLE_OR_NOT_EXPOSED</x:v>
      </x:c>
      <x:c r="C20" s="283" t="str">
        <x:v>CRITICAL_EVENT non esposto.</x:v>
      </x:c>
      <x:c r="D20" s="18"/>
      <x:c r="E20" s="18"/>
      <x:c r="F20" s="18"/>
      <x:c r="G20" s="18"/>
      <x:c r="H20" s="18"/>
      <x:c r="I20" s="18"/>
      <x:c r="J20" s="18"/>
    </x:row>
    <x:row r="21" ht="15" hidden="0" customHeight="1">
      <x:c r="A21" s="283" t="str">
        <x:v>T-119 / T-120</x:v>
      </x:c>
      <x:c r="B21" s="287" t="str">
        <x:v>PASS</x:v>
      </x:c>
      <x:c r="C21" s="283" t="str">
        <x:v>MOSAIC live e STATIC confermati.</x:v>
      </x:c>
      <x:c r="D21" s="18"/>
      <x:c r="E21" s="18"/>
      <x:c r="F21" s="18"/>
      <x:c r="G21" s="18"/>
      <x:c r="H21" s="18"/>
      <x:c r="I21" s="18"/>
      <x:c r="J21" s="18"/>
    </x:row>
    <x:row r="22" ht="26.399999618530273" hidden="0" customHeight="1">
      <x:c r="A22" s="283" t="str">
        <x:v>T-121</x:v>
      </x:c>
      <x:c r="B22" s="287" t="str">
        <x:v>DEFERRED_OPTIONAL_NOT_REQUIRED_FOR_CANONICAL_G06</x:v>
      </x:c>
      <x:c r="C22" s="283" t="str">
        <x:v>ADAPTIVE non necessario.</x:v>
      </x:c>
      <x:c r="D22" s="18"/>
      <x:c r="E22" s="18"/>
      <x:c r="F22" s="18"/>
      <x:c r="G22" s="18"/>
      <x:c r="H22" s="18"/>
      <x:c r="I22" s="18"/>
      <x:c r="J22" s="18"/>
    </x:row>
    <x:row r="23" ht="15" hidden="0" customHeight="1">
      <x:c r="A23" s="287" t="str">
        <x:v>Run opzionali</x:v>
      </x:c>
      <x:c r="B23" s="287" t="str">
        <x:v>G-SPARSE SKIP; G-ADAPTIVE SKIP</x:v>
      </x:c>
      <x:c r="C23" s="287" t="str">
        <x:v>Nessuna nuova simulazione necessaria.</x:v>
      </x:c>
      <x:c r="D23" s="18"/>
      <x:c r="E23" s="18"/>
      <x:c r="F23" s="18"/>
      <x:c r="G23" s="18"/>
      <x:c r="H23" s="18"/>
      <x:c r="I23" s="18"/>
      <x:c r="J23" s="18"/>
    </x:row>
    <x:row r="24" ht="15" hidden="0" customHeight="1">
      <x:c r="A24" s="287" t="str">
        <x:v>Prossimo passo</x:v>
      </x:c>
      <x:c r="B24" s="287" t="str">
        <x:v>Audit residui → eventuali G04-R → G02B → G07</x:v>
      </x:c>
      <x:c r="C24" s="287" t="str">
        <x:v>Matrici da chiudere formalmente.</x:v>
      </x:c>
      <x:c r="D24" s="18"/>
      <x:c r="E24" s="18"/>
      <x:c r="F24" s="18"/>
      <x:c r="G24" s="18"/>
      <x:c r="H24" s="18"/>
      <x:c r="I24" s="18"/>
      <x:c r="J24" s="18"/>
    </x:row>
  </x:sheetData>
  <x:mergeCells>
    <x:mergeCell ref="A1:J1"/>
    <x:mergeCell ref="A2:J2"/>
    <x:mergeCell ref="A7:J7"/>
    <x:mergeCell ref="A15:J15"/>
  </x:mergeCells>
  <x:pageMargins left="0.7" right="0.7" top="0.75" bottom="0.75" header="0.3" footer="0.3"/>
</x:worksheet>
</file>