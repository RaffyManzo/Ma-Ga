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02b7d9430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3933f9935c394125"/>
    <x:sheet xmlns:r="http://schemas.openxmlformats.org/officeDocument/2006/relationships" name="01_Profili" sheetId="2" r:id="R12d4093a0f864326"/>
    <x:sheet xmlns:r="http://schemas.openxmlformats.org/officeDocument/2006/relationships" name="02_Configurazioni" sheetId="3" r:id="Rb94a9de2b5d64916"/>
    <x:sheet xmlns:r="http://schemas.openxmlformats.org/officeDocument/2006/relationships" name="03_Piano_run" sheetId="4" r:id="R111a7356686f4343"/>
    <x:sheet xmlns:r="http://schemas.openxmlformats.org/officeDocument/2006/relationships" name="04_Catalogo_test" sheetId="5" r:id="Rb59d81965c1f4c8a"/>
    <x:sheet xmlns:r="http://schemas.openxmlformats.org/officeDocument/2006/relationships" name="05_Output_dizionario" sheetId="6" r:id="Rffa44cc374c542d7"/>
    <x:sheet xmlns:r="http://schemas.openxmlformats.org/officeDocument/2006/relationships" name="06_Oracoli" sheetId="7" r:id="R2a8ea796354b4a71"/>
    <x:sheet xmlns:r="http://schemas.openxmlformats.org/officeDocument/2006/relationships" name="07_Checklist" sheetId="8" r:id="R3fd9f780fe8741c3"/>
    <x:sheet xmlns:r="http://schemas.openxmlformats.org/officeDocument/2006/relationships" name="08_Limiti" sheetId="9" r:id="R9ffe93d1243e429e"/>
    <x:sheet xmlns:r="http://schemas.openxmlformats.org/officeDocument/2006/relationships" name="09_Fonti" sheetId="10" r:id="R479fc2fc12d94509"/>
    <x:sheet xmlns:r="http://schemas.openxmlformats.org/officeDocument/2006/relationships" name="10_Risultati_G00_G01" sheetId="11" r:id="R5296272023dd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00000"/>
    <x:numFmt numFmtId="202" formatCode="0"/>
    <x:numFmt numFmtId="203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59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BDD7EE"/>
        </x:patternFill>
      </x:fill>
    </x:dxf>
    <x:dxf>
      <x:font>
        <x:b/>
      </x:font>
      <x:fill>
        <x:patternFill patternType="solid">
          <x:bgColor rgb="FFF4B183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1ba30889c457c" /><Relationship Type="http://schemas.openxmlformats.org/officeDocument/2006/relationships/theme" Target="/xl/theme/theme1.xml" Id="R77692cb331584e45" /><Relationship Type="http://schemas.microsoft.com/office/2022/11/relationships/FeaturePropertyBag" Target="/xl/featurePropertyBag/featurePropertyBag.xml" Id="R0838a4f9ae494881" /><Relationship Type="http://schemas.openxmlformats.org/officeDocument/2006/relationships/sharedStrings" Target="/xl/sharedStrings.xml" Id="R9ca5d53373584533" /><Relationship Type="http://schemas.openxmlformats.org/officeDocument/2006/relationships/worksheet" Target="/xl/worksheets/sheet1.xml" Id="R3933f9935c394125" /><Relationship Type="http://schemas.openxmlformats.org/officeDocument/2006/relationships/worksheet" Target="/xl/worksheets/sheet2.xml" Id="R12d4093a0f864326" /><Relationship Type="http://schemas.openxmlformats.org/officeDocument/2006/relationships/worksheet" Target="/xl/worksheets/sheet3.xml" Id="Rb94a9de2b5d64916" /><Relationship Type="http://schemas.openxmlformats.org/officeDocument/2006/relationships/worksheet" Target="/xl/worksheets/sheet4.xml" Id="R111a7356686f4343" /><Relationship Type="http://schemas.openxmlformats.org/officeDocument/2006/relationships/worksheet" Target="/xl/worksheets/sheet5.xml" Id="Rb59d81965c1f4c8a" /><Relationship Type="http://schemas.openxmlformats.org/officeDocument/2006/relationships/worksheet" Target="/xl/worksheets/sheet6.xml" Id="Rffa44cc374c542d7" /><Relationship Type="http://schemas.openxmlformats.org/officeDocument/2006/relationships/worksheet" Target="/xl/worksheets/sheet7.xml" Id="R2a8ea796354b4a71" /><Relationship Type="http://schemas.openxmlformats.org/officeDocument/2006/relationships/worksheet" Target="/xl/worksheets/sheet8.xml" Id="R3fd9f780fe8741c3" /><Relationship Type="http://schemas.openxmlformats.org/officeDocument/2006/relationships/worksheet" Target="/xl/worksheets/sheet9.xml" Id="R9ffe93d1243e429e" /><Relationship Type="http://schemas.openxmlformats.org/officeDocument/2006/relationships/worksheet" Target="/xl/worksheets/sheet10.xml" Id="R479fc2fc12d94509" /><Relationship Type="http://schemas.openxmlformats.org/officeDocument/2006/relationships/worksheet" Target="/xl/worksheets/sheet11.xml" Id="R5296272023dd42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0a322022e248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0a322022e248b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41d89721504e05" /><Relationship Type="http://schemas.openxmlformats.org/officeDocument/2006/relationships/table" Target="/xl/tables/table1.xml" Id="R88aaffb47b064fd0" /><Relationship Type="http://schemas.openxmlformats.org/officeDocument/2006/relationships/table" Target="/xl/tables/table2.xml" Id="Rd2b45ee0e63c42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db5b45a74814c68" /><Relationship Type="http://schemas.openxmlformats.org/officeDocument/2006/relationships/table" Target="/xl/tables/table4.xml" Id="R17d1c467401541c4" /><Relationship Type="http://schemas.openxmlformats.org/officeDocument/2006/relationships/table" Target="/xl/tables/table5.xml" Id="R6f7ec1958c2f4301" /><Relationship Type="http://schemas.openxmlformats.org/officeDocument/2006/relationships/table" Target="/xl/tables/table6.xml" Id="Rf879bfbff97047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8424420cebb649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813c4b91f82049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454e24dd7b6b42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e3226fa070fb4d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5b635a947eb64e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5f65957f924847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92f71823537d4c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9e041ea3ac2742c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18" hidden="0" customWidth="1"/>
    <x:col min="5" max="5" width="16" hidden="0" customWidth="1"/>
    <x:col min="6" max="6" width="20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60" t="str">
        <x:v>Matrice completa dei test MA-GA / Eclipse MOSAIC / SUMO — Fase 0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 codice</x:v>
      </x:c>
      <x:c r="B4" s="20" t="str">
        <x:v>Branch congelato</x:v>
      </x:c>
      <x:c r="C4" s="11" t="str">
        <x:v>MOSAIC/SUMO-integration</x:v>
      </x:c>
      <x:c r="D4" s="11"/>
      <x:c r="E4" s="61" t="str">
        <x:v>Decisione metodologica: eterogeneità veicolare simulata senza modificare il codice</x:v>
      </x:c>
      <x:c r="F4" s="61"/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 t="str"/>
      <x:c r="B5" s="20" t="str">
        <x:v>HEAD congelato</x:v>
      </x:c>
      <x:c r="C5" s="11" t="str">
        <x:v>5a9477735a3d707a5f000a64653cd2a6fc7f2007</x:v>
      </x:c>
      <x:c r="D5" s="11"/>
      <x:c r="E5" s="31" t="str">
        <x:v>Il generatore congelato usa un processo Poisson indipendente per ogni veicolo e pesi globali per LIGHT, MEDIUM e HEAVY. La matrice usa tre mix aggregati — elementare, intermedio e stress — come proxy statistica di flotte con prevalenza diversa di veicoli semplici, moderni e avanzati. La variabilità tra veicoli emerge dai campionamenti indipendenti e dai seed, ma non esiste una classe persistente assegnata al singolo veicolo. Questa limitazione deve essere dichiarata nei risultati.</x:v>
      </x:c>
      <x:c r="F5" s="31"/>
      <x:c r="G5" s="31"/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 t="str"/>
      <x:c r="B6" s="20" t="str">
        <x:v>Smoke post-cleanup</x:v>
      </x:c>
      <x:c r="C6" s="11" t="str">
        <x:v>LITERATURE_SMOKE_TEST_PASSED</x:v>
      </x:c>
      <x:c r="D6" s="11"/>
      <x:c r="E6" s="31"/>
      <x:c r="F6" s="31"/>
      <x:c r="G6" s="31"/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 t="str">
        <x:v>Regola</x:v>
      </x:c>
      <x:c r="B7" s="20" t="str">
        <x:v>Codice</x:v>
      </x:c>
      <x:c r="C7" s="11" t="str">
        <x:v>Nessuna modifica durante la campagna sperimentale.</x:v>
      </x:c>
      <x:c r="D7" s="11"/>
      <x:c r="E7" s="31"/>
      <x:c r="F7" s="31"/>
      <x:c r="G7" s="31"/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 t="str"/>
      <x:c r="B8" s="20" t="str">
        <x:v>Scenari</x:v>
      </x:c>
      <x:c r="C8" s="11" t="str">
        <x:v>Ogni variante deve vivere in una cartella separata e avere manifest/configurazione tracciabile.</x:v>
      </x:c>
      <x:c r="D8" s="11"/>
      <x:c r="E8" s="31"/>
      <x:c r="F8" s="31"/>
      <x:c r="G8" s="31"/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Elenco delle sole configurazioni che potranno diventare scenari nella fase successiva.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61" t="str">
        <x:v>Riepilogo dinamico</x:v>
      </x:c>
      <x:c r="B32" s="61"/>
      <x:c r="C32" s="61"/>
      <x:c r="D32" s="61"/>
      <x:c r="E32" s="11"/>
      <x:c r="F32" s="62" t="str">
        <x:v>Categoria configurazione</x:v>
      </x:c>
      <x:c r="G32" s="62" t="str">
        <x:v>Numero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Indicatore</x:v>
      </x:c>
      <x:c r="B33" s="62" t="str">
        <x:v>Valore</x:v>
      </x:c>
      <x:c r="C33" s="11"/>
      <x:c r="D33" s="11"/>
      <x:c r="E33" s="11"/>
      <x:c r="F33" s="11" t="str">
        <x:v>Tecnica</x:v>
      </x:c>
      <x:c r="G33" s="11" t="n">
        <x:f>COUNTIF('02_Configurazioni'!C4:C200,"Tecnica")</x:f>
        <x:v>5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20" t="str">
        <x:v>Configurazioni totali</x:v>
      </x:c>
      <x:c r="B34" s="11" t="n">
        <x:f>COUNTA('02_Configurazioni'!A4:A200)</x:f>
        <x:v>30</x:v>
      </x:c>
      <x:c r="C34" s="11"/>
      <x:c r="D34" s="11"/>
      <x:c r="E34" s="11"/>
      <x:c r="F34" s="11" t="str">
        <x:v>Principale</x:v>
      </x:c>
      <x:c r="G34" s="11" t="n">
        <x:f>COUNTIF('02_Configurazioni'!C4:C200,"Principale")</x:f>
        <x:v>9</x:v>
      </x:c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20" t="str">
        <x:v>Configurazioni materializzabili</x:v>
      </x:c>
      <x:c r="B35" s="11" t="n">
        <x:f>COUNTIF('02_Configurazioni'!D4:D200,"Sì")</x:f>
        <x:v>28</x:v>
      </x:c>
      <x:c r="C35" s="11"/>
      <x:c r="D35" s="11"/>
      <x:c r="E35" s="11"/>
      <x:c r="F35" s="11" t="str">
        <x:v>Durata</x:v>
      </x:c>
      <x:c r="G35" s="11" t="n">
        <x:f>COUNTIF('02_Configurazioni'!C4:C200,"Durata")</x:f>
        <x:v>2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Run pianificati</x:v>
      </x:c>
      <x:c r="B36" s="11" t="n">
        <x:f>COUNTA('03_Piano_run'!A4:A300)</x:f>
        <x:v>73</x:v>
      </x:c>
      <x:c r="C36" s="11"/>
      <x:c r="D36" s="11"/>
      <x:c r="E36" s="11"/>
      <x:c r="F36" s="11" t="str">
        <x:v>Mobilità</x:v>
      </x:c>
      <x:c r="G36" s="11" t="n">
        <x:f>COUNTIF('02_Configurazioni'!C4:C200,"Mobilità")</x:f>
        <x:v>5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Run obbligatori</x:v>
      </x:c>
      <x:c r="B37" s="11" t="n">
        <x:f>COUNTIF('03_Piano_run'!J4:J300,"Sì")</x:f>
        <x:v>67</x:v>
      </x:c>
      <x:c r="C37" s="11"/>
      <x:c r="D37" s="11"/>
      <x:c r="E37" s="11"/>
      <x:c r="F37" s="11" t="str">
        <x:v>Risorse</x:v>
      </x:c>
      <x:c r="G37" s="11" t="n">
        <x:f>COUNTIF('02_Configurazioni'!C4:C200,"Risorse")</x:f>
        <x:v>6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Voci funzionali censite</x:v>
      </x:c>
      <x:c r="B38" s="11" t="n">
        <x:f>COUNTA('04_Catalogo_test'!A4:A300)</x:f>
        <x:v>87</x:v>
      </x:c>
      <x:c r="C38" s="11"/>
      <x:c r="D38" s="11"/>
      <x:c r="E38" s="11"/>
      <x:c r="F38" s="11" t="str">
        <x:v>Runtime/GA</x:v>
      </x:c>
      <x:c r="G38" s="11" t="n">
        <x:f>COUNTIF('02_Configurazioni'!C4:C200,"Runtime/GA")</x:f>
        <x:v>3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L2"/>
    <x:mergeCell ref="E4:L4"/>
    <x:mergeCell ref="E5:L8"/>
    <x:mergeCell ref="A10:L10"/>
    <x:mergeCell ref="A19:L19"/>
    <x:mergeCell ref="A32:D32"/>
  </x:mergeCells>
  <x:pageMargins left="0.7" right="0.7" top="0.75" bottom="0.75" header="0.3" footer="0.3"/>
  <x:drawing xmlns:r="http://schemas.openxmlformats.org/officeDocument/2006/relationships" r:id="Rfc41d89721504e05"/>
  <x:tableParts count="2">
    <x:tablePart xmlns:r="http://schemas.openxmlformats.org/officeDocument/2006/relationships" r:id="R88aaffb47b064fd0"/>
    <x:tablePart xmlns:r="http://schemas.openxmlformats.org/officeDocument/2006/relationships" r:id="Rd2b45ee0e63c42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Baseline congelata, profili workload e seed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Per durate lunghe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2db5b45a74814c68"/>
    <x:tablePart xmlns:r="http://schemas.openxmlformats.org/officeDocument/2006/relationships" r:id="R17d1c467401541c4"/>
    <x:tablePart xmlns:r="http://schemas.openxmlformats.org/officeDocument/2006/relationships" r:id="R6f7ec1958c2f4301"/>
    <x:tablePart xmlns:r="http://schemas.openxmlformats.org/officeDocument/2006/relationships" r:id="Rf879bfbff97047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</x:cols>
  <x:sheetData>
    <x:row r="1" ht="28" customHeight="1">
      <x:c r="A1" s="60" t="str">
        <x:v>Configurazioni da materializzare o auditare nella fase successiva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24420cebb649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24" hidden="0" customWidth="1"/>
    <x:col min="12" max="12" width="44" hidden="0" customWidth="1"/>
    <x:col min="13" max="13" width="32" hidden="0" customWidth="1"/>
    <x:col min="14" max="14" width="10" hidden="0" customWidth="1"/>
    <x:col min="15" max="15" width="36" hidden="0" customWidth="1"/>
    <x:col min="16" max="16" width="48" hidden="0" customWidth="1"/>
    <x:col min="18" max="18" width="34" hidden="0" customWidth="1"/>
    <x:col min="19" max="19" width="38" hidden="0" customWidth="1"/>
    <x:col min="20" max="20" width="22" hidden="0" customWidth="1"/>
    <x:col min="21" max="21" width="22" hidden="0" customWidth="1"/>
    <x:col min="22" max="22" width="34" hidden="0" customWidth="1"/>
    <x:col min="23" max="23" width="36" hidden="0" customWidth="1"/>
  </x:cols>
  <x:sheetData>
    <x:row r="1" ht="28" customHeight="1">
      <x:c r="A1" s="60" t="str">
        <x:v>Piano operativo delle esecuzioni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 t="str">
        <x:v>G02B - sottofase comparativa pianificata (nessuna run avviata)</x:v>
      </x:c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74" t="str">
        <x:v>Confronto richiesto</x:v>
      </x:c>
      <x:c r="S3" s="74" t="str">
        <x:v>Configurazioni minime</x:v>
      </x:c>
      <x:c r="T3" s="74" t="str">
        <x:v>Seed</x:v>
      </x:c>
      <x:c r="U3" s="74" t="str">
        <x:v>Stato</x:v>
      </x:c>
      <x:c r="V3" s="74" t="str">
        <x:v>Vincolo</x:v>
      </x:c>
      <x:c r="W3" s="74" t="str">
        <x:v>Nota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 ht="44" customHeight="1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97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Freeze/Git verificati; working tree pulito; diff Java/core vuoto. HEAD G01 0be2507…; core 5a94777…</x:v>
      </x:c>
      <x:c r="Q4" s="11"/>
      <x:c r="R4" s="76" t="str">
        <x:v>MA-GA completo vs LOCAL-only</x:v>
      </x:c>
      <x:c r="S4" s="76" t="str">
        <x:v>CFG-N-I; CFG-N-S; CFG-H-I; CFG-H-S facoltativa</x:v>
      </x:c>
      <x:c r="T4" s="76" t="str">
        <x:v>5 seed ufficiali</x:v>
      </x:c>
      <x:c r="U4" s="76" t="str">
        <x:v>DA_ESEGUIRE</x:v>
      </x:c>
      <x:c r="V4" s="76" t="str">
        <x:v>Solo configurazione o tooling esterno</x:v>
      </x:c>
      <x:c r="W4" s="76" t="str">
        <x:v>Fermarsi se serve modificare il core Java.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 ht="44" customHeight="1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97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G00: 69 istanze verificate; banda serializzata senza esponenti; core Java invariato.</x:v>
      </x:c>
      <x:c r="Q5" s="11"/>
      <x:c r="R5" s="76" t="str">
        <x:v>MA-GA completo vs penalità mobility-aware disattivata</x:v>
      </x:c>
      <x:c r="S5" s="76" t="str">
        <x:v>CFG-N-I; CFG-N-S; CFG-H-I; CFG-H-S facoltativa</x:v>
      </x:c>
      <x:c r="T5" s="76" t="str">
        <x:v>5 seed ufficiali</x:v>
      </x:c>
      <x:c r="U5" s="76" t="str">
        <x:v>DA_ESEGUIRE</x:v>
      </x:c>
      <x:c r="V5" s="76" t="str">
        <x:v>Solo configurazione o tooling esterno</x:v>
      </x:c>
      <x:c r="W5" s="76" t="str">
        <x:v>Verificare prima che il freeze lo supporti.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 ht="44" customHeight="1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97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180/180 s; post-processing recuperato offline; JAR recuperato e validato; fresh build non dimostrata; alias MAT-SMOKE-104729.</x:v>
      </x:c>
      <x:c r="Q6" s="11"/>
      <x:c r="R6" s="76" t="str">
        <x:v>Cold start vs population reuse</x:v>
      </x:c>
      <x:c r="S6" s="76" t="str">
        <x:v>CFG-N-I; CFG-N-S; CFG-H-I; CFG-H-S facoltativa</x:v>
      </x:c>
      <x:c r="T6" s="76" t="str">
        <x:v>5 seed ufficiali</x:v>
      </x:c>
      <x:c r="U6" s="76" t="str">
        <x:v>DA_ESEGUIRE</x:v>
      </x:c>
      <x:c r="V6" s="76" t="str">
        <x:v>Solo configurazione o tooling esterno</x:v>
      </x:c>
      <x:c r="W6" s="76" t="str">
        <x:v>Confronto sul beneficio del riuso.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97" t="str">
        <x:v>DA_ESEGUIRE</x:v>
      </x:c>
      <x:c r="L7" s="11"/>
      <x:c r="M7" s="11"/>
      <x:c r="N7" s="11"/>
      <x:c r="O7" s="11" t="str">
        <x:v>Prima materializzazione.</x:v>
      </x:c>
      <x:c r="P7" s="11"/>
      <x:c r="Q7" s="11"/>
      <x:c r="R7" s="76" t="str">
        <x:v>Random-feasible o greedy</x:v>
      </x:c>
      <x:c r="S7" s="76" t="str">
        <x:v>Sottoinsieme rappresentativo</x:v>
      </x:c>
      <x:c r="T7" s="76" t="str">
        <x:v>5 seed ufficiali</x:v>
      </x:c>
      <x:c r="U7" s="76" t="str">
        <x:v>DA_ESEGUIRE</x:v>
      </x:c>
      <x:c r="V7" s="76" t="str">
        <x:v>Solo se già supportata</x:v>
      </x:c>
      <x:c r="W7" s="76" t="str">
        <x:v>Baseline opzionale; non introdurre codice nuovo.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97" t="str">
        <x:v>DA_ESEGUIRE</x:v>
      </x:c>
      <x:c r="L8" s="11"/>
      <x:c r="M8" s="11"/>
      <x:c r="N8" s="11"/>
      <x:c r="O8" s="11" t="str">
        <x:v>Seconda materializzazione da confrontare.</x:v>
      </x:c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97" t="str">
        <x:v>DA_ESEGUIRE</x:v>
      </x:c>
      <x:c r="L9" s="11"/>
      <x:c r="M9" s="11"/>
      <x:c r="N9" s="11"/>
      <x:c r="O9" s="11" t="str">
        <x:v>Misurare variabilità JVM.</x:v>
      </x:c>
      <x:c r="P9" s="11" t="str">
        <x:v>Stesso scenario materializzato.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97" t="str">
        <x:v>DA_ESEGUIRE</x:v>
      </x:c>
      <x:c r="L10" s="11"/>
      <x:c r="M10" s="11"/>
      <x:c r="N10" s="11"/>
      <x:c r="O10" s="11" t="str">
        <x:v>Misurare variabilità JVM.</x:v>
      </x:c>
      <x:c r="P10" s="11" t="str">
        <x:v>Stesso scenario materializzato.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97" t="str">
        <x:v>DA_ESEGUIRE</x:v>
      </x:c>
      <x:c r="L11" s="11"/>
      <x:c r="M11" s="11"/>
      <x:c r="N11" s="11"/>
      <x:c r="O11" s="11" t="str">
        <x:v>Misurare variabilità JVM.</x:v>
      </x:c>
      <x:c r="P11" s="11" t="str">
        <x:v>Stesso scenario materializzato.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97" t="str">
        <x:v>DA_ESEGUIRE</x:v>
      </x:c>
      <x:c r="L12" s="11"/>
      <x:c r="M12" s="11"/>
      <x:c r="N12" s="11"/>
      <x:c r="O12" s="11" t="str">
        <x:v>Campagna principale low_density / WL-E.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97" t="str">
        <x:v>DA_ESEGUIRE</x:v>
      </x:c>
      <x:c r="L13" s="11"/>
      <x:c r="M13" s="11"/>
      <x:c r="N13" s="11"/>
      <x:c r="O13" s="11" t="str">
        <x:v>Campagna principale low_density / WL-E.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97" t="str">
        <x:v>DA_ESEGUIRE</x:v>
      </x:c>
      <x:c r="L14" s="11"/>
      <x:c r="M14" s="11"/>
      <x:c r="N14" s="11"/>
      <x:c r="O14" s="11" t="str">
        <x:v>Campagna principale low_density / WL-E.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97" t="str">
        <x:v>DA_ESEGUIRE</x:v>
      </x:c>
      <x:c r="L15" s="11"/>
      <x:c r="M15" s="11"/>
      <x:c r="N15" s="11"/>
      <x:c r="O15" s="11" t="str">
        <x:v>Campagna principale low_density / WL-E.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97" t="str">
        <x:v>DA_ESEGUIRE</x:v>
      </x:c>
      <x:c r="L16" s="11"/>
      <x:c r="M16" s="11"/>
      <x:c r="N16" s="11"/>
      <x:c r="O16" s="11" t="str">
        <x:v>Campagna principale low_density / WL-E.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97" t="str">
        <x:v>DA_ESEGUIRE</x:v>
      </x:c>
      <x:c r="L17" s="11"/>
      <x:c r="M17" s="11"/>
      <x:c r="N17" s="11"/>
      <x:c r="O17" s="11" t="str">
        <x:v>Campagna principale low_density / WL-I.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97" t="str">
        <x:v>DA_ESEGUIRE</x:v>
      </x:c>
      <x:c r="L18" s="11"/>
      <x:c r="M18" s="11"/>
      <x:c r="N18" s="11"/>
      <x:c r="O18" s="11" t="str">
        <x:v>Campagna principale low_density / WL-I.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97" t="str">
        <x:v>DA_ESEGUIRE</x:v>
      </x:c>
      <x:c r="L19" s="11"/>
      <x:c r="M19" s="11"/>
      <x:c r="N19" s="11"/>
      <x:c r="O19" s="11" t="str">
        <x:v>Campagna principale low_density / WL-I.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97" t="str">
        <x:v>DA_ESEGUIRE</x:v>
      </x:c>
      <x:c r="L20" s="11"/>
      <x:c r="M20" s="11"/>
      <x:c r="N20" s="11"/>
      <x:c r="O20" s="11" t="str">
        <x:v>Campagna principale low_density / WL-I.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97" t="str">
        <x:v>DA_ESEGUIRE</x:v>
      </x:c>
      <x:c r="L21" s="11"/>
      <x:c r="M21" s="11"/>
      <x:c r="N21" s="11"/>
      <x:c r="O21" s="11" t="str">
        <x:v>Campagna principale low_density / WL-I.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97" t="str">
        <x:v>DA_ESEGUIRE</x:v>
      </x:c>
      <x:c r="L22" s="11"/>
      <x:c r="M22" s="11"/>
      <x:c r="N22" s="11"/>
      <x:c r="O22" s="11" t="str">
        <x:v>Campagna principale low_density / WL-S.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97" t="str">
        <x:v>DA_ESEGUIRE</x:v>
      </x:c>
      <x:c r="L23" s="11"/>
      <x:c r="M23" s="11"/>
      <x:c r="N23" s="11"/>
      <x:c r="O23" s="11" t="str">
        <x:v>Campagna principale low_density / WL-S.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97" t="str">
        <x:v>DA_ESEGUIRE</x:v>
      </x:c>
      <x:c r="L24" s="11"/>
      <x:c r="M24" s="11"/>
      <x:c r="N24" s="11"/>
      <x:c r="O24" s="11" t="str">
        <x:v>Campagna principale low_density / WL-S.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97" t="str">
        <x:v>DA_ESEGUIRE</x:v>
      </x:c>
      <x:c r="L25" s="11"/>
      <x:c r="M25" s="11"/>
      <x:c r="N25" s="11"/>
      <x:c r="O25" s="11" t="str">
        <x:v>Campagna principale low_density / WL-S.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97" t="str">
        <x:v>DA_ESEGUIRE</x:v>
      </x:c>
      <x:c r="L26" s="11"/>
      <x:c r="M26" s="11"/>
      <x:c r="N26" s="11"/>
      <x:c r="O26" s="11" t="str">
        <x:v>Campagna principale low_density / WL-S.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97" t="str">
        <x:v>DA_ESEGUIRE</x:v>
      </x:c>
      <x:c r="L27" s="11"/>
      <x:c r="M27" s="11"/>
      <x:c r="N27" s="11"/>
      <x:c r="O27" s="11" t="str">
        <x:v>Campagna principale nominal / WL-E.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97" t="str">
        <x:v>DA_ESEGUIRE</x:v>
      </x:c>
      <x:c r="L28" s="11"/>
      <x:c r="M28" s="11"/>
      <x:c r="N28" s="11"/>
      <x:c r="O28" s="11" t="str">
        <x:v>Campagna principale nominal / WL-E.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97" t="str">
        <x:v>DA_ESEGUIRE</x:v>
      </x:c>
      <x:c r="L29" s="11"/>
      <x:c r="M29" s="11"/>
      <x:c r="N29" s="11"/>
      <x:c r="O29" s="11" t="str">
        <x:v>Campagna principale nominal / WL-E.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97" t="str">
        <x:v>DA_ESEGUIRE</x:v>
      </x:c>
      <x:c r="L30" s="11"/>
      <x:c r="M30" s="11"/>
      <x:c r="N30" s="11"/>
      <x:c r="O30" s="11" t="str">
        <x:v>Campagna principale nominal / WL-E.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97" t="str">
        <x:v>DA_ESEGUIRE</x:v>
      </x:c>
      <x:c r="L31" s="11"/>
      <x:c r="M31" s="11"/>
      <x:c r="N31" s="11"/>
      <x:c r="O31" s="11" t="str">
        <x:v>Campagna principale nominal / WL-E.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97" t="str">
        <x:v>DA_ESEGUIRE</x:v>
      </x:c>
      <x:c r="L32" s="11"/>
      <x:c r="M32" s="11"/>
      <x:c r="N32" s="11"/>
      <x:c r="O32" s="11" t="str">
        <x:v>Campagna principale nominal / WL-I.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97" t="str">
        <x:v>DA_ESEGUIRE</x:v>
      </x:c>
      <x:c r="L33" s="11"/>
      <x:c r="M33" s="11"/>
      <x:c r="N33" s="11"/>
      <x:c r="O33" s="11" t="str">
        <x:v>Campagna principale nominal / WL-I.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97" t="str">
        <x:v>DA_ESEGUIRE</x:v>
      </x:c>
      <x:c r="L34" s="11"/>
      <x:c r="M34" s="11"/>
      <x:c r="N34" s="11"/>
      <x:c r="O34" s="11" t="str">
        <x:v>Campagna principale nominal / WL-I.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97" t="str">
        <x:v>DA_ESEGUIRE</x:v>
      </x:c>
      <x:c r="L35" s="11"/>
      <x:c r="M35" s="11"/>
      <x:c r="N35" s="11"/>
      <x:c r="O35" s="11" t="str">
        <x:v>Campagna principale nominal / WL-I.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97" t="str">
        <x:v>DA_ESEGUIRE</x:v>
      </x:c>
      <x:c r="L36" s="11"/>
      <x:c r="M36" s="11"/>
      <x:c r="N36" s="11"/>
      <x:c r="O36" s="11" t="str">
        <x:v>Campagna principale nominal / WL-I.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97" t="str">
        <x:v>DA_ESEGUIRE</x:v>
      </x:c>
      <x:c r="L37" s="11"/>
      <x:c r="M37" s="11"/>
      <x:c r="N37" s="11"/>
      <x:c r="O37" s="11" t="str">
        <x:v>Campagna principale nominal / WL-S.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97" t="str">
        <x:v>DA_ESEGUIRE</x:v>
      </x:c>
      <x:c r="L38" s="11"/>
      <x:c r="M38" s="11"/>
      <x:c r="N38" s="11"/>
      <x:c r="O38" s="11" t="str">
        <x:v>Campagna principale nominal / WL-S.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97" t="str">
        <x:v>DA_ESEGUIRE</x:v>
      </x:c>
      <x:c r="L39" s="11"/>
      <x:c r="M39" s="11"/>
      <x:c r="N39" s="11"/>
      <x:c r="O39" s="11" t="str">
        <x:v>Campagna principale nominal / WL-S.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97" t="str">
        <x:v>DA_ESEGUIRE</x:v>
      </x:c>
      <x:c r="L40" s="11"/>
      <x:c r="M40" s="11"/>
      <x:c r="N40" s="11"/>
      <x:c r="O40" s="11" t="str">
        <x:v>Campagna principale nominal / WL-S.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97" t="str">
        <x:v>DA_ESEGUIRE</x:v>
      </x:c>
      <x:c r="L41" s="11"/>
      <x:c r="M41" s="11"/>
      <x:c r="N41" s="11"/>
      <x:c r="O41" s="11" t="str">
        <x:v>Campagna principale nominal / WL-S.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97" t="str">
        <x:v>DA_ESEGUIRE</x:v>
      </x:c>
      <x:c r="L42" s="11"/>
      <x:c r="M42" s="11"/>
      <x:c r="N42" s="11"/>
      <x:c r="O42" s="11" t="str">
        <x:v>Campagna principale high_density / WL-E.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97" t="str">
        <x:v>DA_ESEGUIRE</x:v>
      </x:c>
      <x:c r="L43" s="11"/>
      <x:c r="M43" s="11"/>
      <x:c r="N43" s="11"/>
      <x:c r="O43" s="11" t="str">
        <x:v>Campagna principale high_density / WL-E.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97" t="str">
        <x:v>DA_ESEGUIRE</x:v>
      </x:c>
      <x:c r="L44" s="11"/>
      <x:c r="M44" s="11"/>
      <x:c r="N44" s="11"/>
      <x:c r="O44" s="11" t="str">
        <x:v>Campagna principale high_density / WL-E.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97" t="str">
        <x:v>DA_ESEGUIRE</x:v>
      </x:c>
      <x:c r="L45" s="11"/>
      <x:c r="M45" s="11"/>
      <x:c r="N45" s="11"/>
      <x:c r="O45" s="11" t="str">
        <x:v>Campagna principale high_density / WL-E.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97" t="str">
        <x:v>DA_ESEGUIRE</x:v>
      </x:c>
      <x:c r="L46" s="11"/>
      <x:c r="M46" s="11"/>
      <x:c r="N46" s="11"/>
      <x:c r="O46" s="11" t="str">
        <x:v>Campagna principale high_density / WL-E.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97" t="str">
        <x:v>DA_ESEGUIRE</x:v>
      </x:c>
      <x:c r="L47" s="11"/>
      <x:c r="M47" s="11"/>
      <x:c r="N47" s="11"/>
      <x:c r="O47" s="11" t="str">
        <x:v>Campagna principale high_density / WL-I.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97" t="str">
        <x:v>DA_ESEGUIRE</x:v>
      </x:c>
      <x:c r="L48" s="11"/>
      <x:c r="M48" s="11"/>
      <x:c r="N48" s="11"/>
      <x:c r="O48" s="11" t="str">
        <x:v>Campagna principale high_density / WL-I.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97" t="str">
        <x:v>DA_ESEGUIRE</x:v>
      </x:c>
      <x:c r="L49" s="11"/>
      <x:c r="M49" s="11"/>
      <x:c r="N49" s="11"/>
      <x:c r="O49" s="11" t="str">
        <x:v>Campagna principale high_density / WL-I.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97" t="str">
        <x:v>DA_ESEGUIRE</x:v>
      </x:c>
      <x:c r="L50" s="11"/>
      <x:c r="M50" s="11"/>
      <x:c r="N50" s="11"/>
      <x:c r="O50" s="11" t="str">
        <x:v>Campagna principale high_density / WL-I.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97" t="str">
        <x:v>DA_ESEGUIRE</x:v>
      </x:c>
      <x:c r="L51" s="11"/>
      <x:c r="M51" s="11"/>
      <x:c r="N51" s="11"/>
      <x:c r="O51" s="11" t="str">
        <x:v>Campagna principale high_density / WL-I.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97" t="str">
        <x:v>DA_ESEGUIRE</x:v>
      </x:c>
      <x:c r="L52" s="11"/>
      <x:c r="M52" s="11"/>
      <x:c r="N52" s="11"/>
      <x:c r="O52" s="11" t="str">
        <x:v>Campagna principale high_density / WL-S.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97" t="str">
        <x:v>DA_ESEGUIRE</x:v>
      </x:c>
      <x:c r="L53" s="11"/>
      <x:c r="M53" s="11"/>
      <x:c r="N53" s="11"/>
      <x:c r="O53" s="11" t="str">
        <x:v>Campagna principale high_density / WL-S.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97" t="str">
        <x:v>DA_ESEGUIRE</x:v>
      </x:c>
      <x:c r="L54" s="11"/>
      <x:c r="M54" s="11"/>
      <x:c r="N54" s="11"/>
      <x:c r="O54" s="11" t="str">
        <x:v>Campagna principale high_density / WL-S.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97" t="str">
        <x:v>DA_ESEGUIRE</x:v>
      </x:c>
      <x:c r="L55" s="11"/>
      <x:c r="M55" s="11"/>
      <x:c r="N55" s="11"/>
      <x:c r="O55" s="11" t="str">
        <x:v>Campagna principale high_density / WL-S.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97" t="str">
        <x:v>DA_ESEGUIRE</x:v>
      </x:c>
      <x:c r="L56" s="11"/>
      <x:c r="M56" s="11"/>
      <x:c r="N56" s="11"/>
      <x:c r="O56" s="11" t="str">
        <x:v>Campagna principale high_density / WL-S.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97" t="str">
        <x:v>DA_ESEGUIRE</x:v>
      </x:c>
      <x:c r="L57" s="11"/>
      <x:c r="M57" s="11"/>
      <x:c r="N57" s="11"/>
      <x:c r="O57" s="11" t="str">
        <x:v>Stabilità nominale su 600 s.</x:v>
      </x:c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97" t="str">
        <x:v>DA_ESEGUIRE</x:v>
      </x:c>
      <x:c r="L58" s="11"/>
      <x:c r="M58" s="11"/>
      <x:c r="N58" s="11"/>
      <x:c r="O58" s="11" t="str">
        <x:v>Stabilità nominale su 600 s.</x:v>
      </x:c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97" t="str">
        <x:v>DA_ESEGUIRE</x:v>
      </x:c>
      <x:c r="L59" s="11"/>
      <x:c r="M59" s="11"/>
      <x:c r="N59" s="11"/>
      <x:c r="O59" s="11" t="str">
        <x:v>Stabilità nominale su 600 s.</x:v>
      </x:c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97" t="str">
        <x:v>DA_ESEGUIRE</x:v>
      </x:c>
      <x:c r="L60" s="11"/>
      <x:c r="M60" s="11"/>
      <x:c r="N60" s="11"/>
      <x:c r="O60" s="11" t="str">
        <x:v>Stabilità nominale su 600 s.</x:v>
      </x:c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97" t="str">
        <x:v>DA_ESEGUIRE</x:v>
      </x:c>
      <x:c r="L61" s="11"/>
      <x:c r="M61" s="11"/>
      <x:c r="N61" s="11"/>
      <x:c r="O61" s="11" t="str">
        <x:v>Stabilità nominale su 600 s.</x:v>
      </x:c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97" t="str">
        <x:v>DA_ESEGUIRE</x:v>
      </x:c>
      <x:c r="L62" s="11"/>
      <x:c r="M62" s="11"/>
      <x:c r="N62" s="11"/>
      <x:c r="O62" s="11" t="str">
        <x:v>Endurance sotto stress combinato.</x:v>
      </x:c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97" t="str">
        <x:v>DA_ESEGUIRE</x:v>
      </x:c>
      <x:c r="L63" s="11"/>
      <x:c r="M63" s="11"/>
      <x:c r="N63" s="11"/>
      <x:c r="O63" s="11" t="str">
        <x:v>Fallback locale e access link unavailable.</x:v>
      </x:c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97" t="str">
        <x:v>DA_ESEGUIRE</x:v>
      </x:c>
      <x:c r="L64" s="11"/>
      <x:c r="M64" s="11"/>
      <x:c r="N64" s="11"/>
      <x:c r="O64" s="11" t="str">
        <x:v>Gateway rsu_0.</x:v>
      </x:c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97" t="str">
        <x:v>DA_ESEGUIRE</x:v>
      </x:c>
      <x:c r="L65" s="11"/>
      <x:c r="M65" s="11"/>
      <x:c r="N65" s="11"/>
      <x:c r="O65" s="11" t="str">
        <x:v>Gateway rsu_1.</x:v>
      </x:c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97" t="str">
        <x:v>DA_ESEGUIRE</x:v>
      </x:c>
      <x:c r="L66" s="11"/>
      <x:c r="M66" s="11"/>
      <x:c r="N66" s="11"/>
      <x:c r="O66" s="11" t="str">
        <x:v>Gateway switch e handover.</x:v>
      </x:c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97" t="str">
        <x:v>DA_ESEGUIRE</x:v>
      </x:c>
      <x:c r="L67" s="11"/>
      <x:c r="M67" s="11"/>
      <x:c r="N67" s="11"/>
      <x:c r="O67" s="11" t="str">
        <x:v>Candidati e decisioni V2V.</x:v>
      </x:c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97" t="str">
        <x:v>DA_ESEGUIRE</x:v>
      </x:c>
      <x:c r="L68" s="11"/>
      <x:c r="M68" s="11"/>
      <x:c r="N68" s="11"/>
      <x:c r="O68" s="11" t="str">
        <x:v>Pressione CPU locale.</x:v>
      </x:c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97" t="str">
        <x:v>DA_ESEGUIRE</x:v>
      </x:c>
      <x:c r="L69" s="11"/>
      <x:c r="M69" s="11"/>
      <x:c r="N69" s="11"/>
      <x:c r="O69" s="11" t="str">
        <x:v>Pressione CPU edge.</x:v>
      </x:c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97" t="str">
        <x:v>DA_ESEGUIRE</x:v>
      </x:c>
      <x:c r="L70" s="11"/>
      <x:c r="M70" s="11"/>
      <x:c r="N70" s="11"/>
      <x:c r="O70" s="11" t="str">
        <x:v>Pressione CPU cloud.</x:v>
      </x:c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97" t="str">
        <x:v>DA_ESEGUIRE</x:v>
      </x:c>
      <x:c r="L71" s="11"/>
      <x:c r="M71" s="11"/>
      <x:c r="N71" s="11"/>
      <x:c r="O71" s="11" t="str">
        <x:v>Pressione banda CELL.</x:v>
      </x:c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97" t="str">
        <x:v>DA_ESEGUIRE</x:v>
      </x:c>
      <x:c r="L72" s="11"/>
      <x:c r="M72" s="11"/>
      <x:c r="N72" s="11"/>
      <x:c r="O72" s="11" t="str">
        <x:v>Pressione banda V2V.</x:v>
      </x:c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97" t="str">
        <x:v>DA_ESEGUIRE</x:v>
      </x:c>
      <x:c r="L73" s="11"/>
      <x:c r="M73" s="11"/>
      <x:c r="N73" s="11"/>
      <x:c r="O73" s="11" t="str">
        <x:v>Latenza base elevata.</x:v>
      </x:c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97" t="str">
        <x:v>DA_ESEGUIRE</x:v>
      </x:c>
      <x:c r="L74" s="11"/>
      <x:c r="M74" s="11"/>
      <x:c r="N74" s="11"/>
      <x:c r="O74" s="11" t="str">
        <x:v>Finestre sparse.</x:v>
      </x:c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97" t="str">
        <x:v>DA_ESEGUIRE</x:v>
      </x:c>
      <x:c r="L75" s="11"/>
      <x:c r="M75" s="11"/>
      <x:c r="N75" s="11"/>
      <x:c r="O75" s="11" t="str">
        <x:v>Scaling ADAPTIVE separato.</x:v>
      </x:c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97" t="str">
        <x:v>DA_ESEGUIRE</x:v>
      </x:c>
      <x:c r="L76" s="11"/>
      <x:c r="M76" s="11"/>
      <x:c r="N76" s="11"/>
      <x:c r="O76" s="11" t="str">
        <x:v>Stale controllato con ritardo artificiale.</x:v>
      </x:c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3c4b91f82049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26" hidden="0" customWidth="1"/>
  </x:cols>
  <x:sheetData>
    <x:row r="1" ht="28" customHeight="1">
      <x:c r="A1" s="60" t="str">
        <x:v>Catalogo funzionale completo: pipeline, MA-GA, policy e casi limite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97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97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97" t="str">
        <x:v>EVIDENZA_PARZIALE</x:v>
      </x:c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97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97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97" t="str">
        <x:v>EVIDENZA_PARZIALE</x:v>
      </x:c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97" t="str">
        <x:v>DA_ESEGUIRE</x:v>
      </x:c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97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97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97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97" t="str">
        <x:v>EVIDENZA_PARZIALE</x:v>
      </x:c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97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97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97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97" t="str">
        <x:v>EVIDENZA_PARZIALE</x:v>
      </x:c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97" t="str">
        <x:v>DA_ESEGUIRE</x:v>
      </x:c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97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97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97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97" t="str">
        <x:v>DA_ESEGUIRE</x:v>
      </x:c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97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97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97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97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97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97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97" t="str">
        <x:v>EVIDENZA_PARZIALE</x:v>
      </x:c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97" t="str">
        <x:v>EVIDENZA_PARZIALE</x:v>
      </x:c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97" t="str">
        <x:v>EVIDENZA_PARZIALE</x:v>
      </x:c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97" t="str">
        <x:v>DA_ESEGUIRE</x:v>
      </x:c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97" t="str">
        <x:v>DA_ESEGUIRE</x:v>
      </x:c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97" t="str">
        <x:v>EVIDENZA_PARZIALE</x:v>
      </x:c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97" t="str">
        <x:v>EVIDENZA_PARZIALE</x:v>
      </x:c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97" t="str">
        <x:v>EVIDENZA_PARZIALE</x:v>
      </x:c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97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97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97" t="str">
        <x:v>EVIDENZA_PARZIALE</x:v>
      </x:c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97" t="str">
        <x:v>DA_ESEGUIRE</x:v>
      </x:c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97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97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97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97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97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97" t="str">
        <x:v>DA_ESEGUIRE</x:v>
      </x:c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97" t="str">
        <x:v>DA_ESEGUIRE</x:v>
      </x:c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97" t="str">
        <x:v>DA_ESEGUIRE</x:v>
      </x:c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97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97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97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97" t="str">
        <x:v>DA_ESEGUIRE</x:v>
      </x:c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97" t="str">
        <x:v>DA_ESEGUIRE</x:v>
      </x:c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97" t="str">
        <x:v>DA_ESEGUIRE</x:v>
      </x:c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97" t="str">
        <x:v>DA_ESEGUIRE</x:v>
      </x:c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97" t="str">
        <x:v>DA_ESEGUIRE</x:v>
      </x:c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97" t="str">
        <x:v>DA_ESEGUIRE</x:v>
      </x:c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97" t="str">
        <x:v>DA_ESEGUIRE</x:v>
      </x:c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97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97" t="str">
        <x:v>DA_ESEGUIRE</x:v>
      </x:c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97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97" t="str">
        <x:v>DA_ESEGUIRE</x:v>
      </x:c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Distanza/raggio RSU</x:v>
      </x:c>
      <x:c r="E64" s="11" t="str">
        <x:v>Diretto</x:v>
      </x:c>
      <x:c r="F64" s="11" t="str">
        <x:v>CFG-M-RSU0; CFG-M-RSU1</x:v>
      </x:c>
      <x:c r="G64" s="11" t="str">
        <x:v>Sì</x:v>
      </x:c>
      <x:c r="H64" s="11" t="str">
        <x:v>mobility breakdown</x:v>
      </x:c>
      <x:c r="I64" s="11" t="str">
        <x:v>phiLink cresce verso bordo.</x:v>
      </x:c>
      <x:c r="J64" s="97" t="str">
        <x:v>DA_ESEGUIRE</x:v>
      </x:c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97" t="str">
        <x:v>DA_ESEGUIRE</x:v>
      </x:c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97" t="str">
        <x:v>DA_ESEGUIRE</x:v>
      </x:c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completion &gt; coverage</x:v>
      </x:c>
      <x:c r="E67" s="11" t="str">
        <x:v>Stress mirato</x:v>
      </x:c>
      <x:c r="F67" s="11" t="str">
        <x:v>CFG-M-SWITCH; CFG-R-RTT; CFG-R-CELLBW</x:v>
      </x:c>
      <x:c r="G67" s="11" t="str">
        <x:v>Sì</x:v>
      </x:c>
      <x:c r="H67" s="11" t="str">
        <x:v>phiCov, coverage insufficient</x:v>
      </x:c>
      <x:c r="I67" s="11" t="str">
        <x:v>Penalità o prefilter coerenti.</x:v>
      </x:c>
      <x:c r="J67" s="97" t="str">
        <x:v>DA_ESEGUIRE</x:v>
      </x:c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97" t="str">
        <x:v>DA_ESEGUIRE</x:v>
      </x:c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risk</x:v>
      </x:c>
      <x:c r="D69" s="11" t="str">
        <x:v>phiHo</x:v>
      </x:c>
      <x:c r="E69" s="11" t="str">
        <x:v>Diretto</x:v>
      </x:c>
      <x:c r="F69" s="11" t="str">
        <x:v>CFG-M-SWITCH</x:v>
      </x:c>
      <x:c r="G69" s="11" t="str">
        <x:v>Sì</x:v>
      </x:c>
      <x:c r="H69" s="11" t="str">
        <x:v>phiHo/transitions</x:v>
      </x:c>
      <x:c r="I69" s="11" t="str">
        <x:v>Rischio maggiore vicino allo switch.</x:v>
      </x:c>
      <x:c r="J69" s="97" t="str">
        <x:v>DA_ESEGUIRE</x:v>
      </x:c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97" t="str">
        <x:v>DA_ESEGUIRE</x:v>
      </x:c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</x:v>
      </x:c>
      <x:c r="D71" s="11" t="str">
        <x:v>rsu_0 -&gt; rsu_1 o viceversa</x:v>
      </x:c>
      <x:c r="E71" s="11" t="str">
        <x:v>Diretto</x:v>
      </x:c>
      <x:c r="F71" s="11" t="str">
        <x:v>CFG-M-SWITCH</x:v>
      </x:c>
      <x:c r="G71" s="11" t="str">
        <x:v>Sì</x:v>
      </x:c>
      <x:c r="H71" s="11" t="str">
        <x:v>access link transitions</x:v>
      </x:c>
      <x:c r="I71" s="11" t="str">
        <x:v>Almeno una transizione.</x:v>
      </x:c>
      <x:c r="J71" s="97" t="str">
        <x:v>DA_ESEGUIRE</x:v>
      </x:c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97" t="str">
        <x:v>DA_ESEGUIRE</x:v>
      </x:c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97" t="str">
        <x:v>DA_ESEGUIRE</x:v>
      </x:c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97" t="str">
        <x:v>DA_ESEGUIRE</x:v>
      </x:c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97" t="str">
        <x:v>DA_ESEGUIRE</x:v>
      </x:c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97" t="str">
        <x:v>DA_ESEGUIRE</x:v>
      </x:c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97" t="str">
        <x:v>DA_ESEGUIRE</x:v>
      </x:c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97" t="str">
        <x:v>DA_ESEGUIRE</x:v>
      </x:c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97" t="str">
        <x:v>DA_ESEGUIRE</x:v>
      </x:c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97" t="str">
        <x:v>DA_ESEGUIRE</x:v>
      </x:c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97" t="str">
        <x:v>DA_ESEGUIRE</x:v>
      </x:c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97" t="str">
        <x:v>EVIDENZA_PARZIALE</x:v>
      </x:c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97" t="str">
        <x:v>EVIDENZA_PARZIALE</x:v>
      </x:c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97" t="str">
        <x:v>DA_ESEGUIRE</x:v>
      </x:c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97" t="str">
        <x:v>EVIDENZA_PARZIALE</x:v>
      </x:c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97" t="str">
        <x:v>EVIDENZA_PARZIALE</x:v>
      </x:c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97" t="str">
        <x:v>EVIDENZA_PARZIALE</x:v>
      </x:c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97" t="str">
        <x:v>EVIDENZA_PARZIALE</x:v>
      </x:c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97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97" t="str">
        <x:v>EVIDENZA_PARZIALE</x:v>
      </x:c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4e24dd7b6b42d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completo degli output e degli stati osservabili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e3226fa070fb4d0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Criteri di successo, aspettative e segnali rossi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</x:v>
      </x:c>
      <x:c r="C7" s="11" t="str">
        <x:v>SUMO</x:v>
      </x:c>
      <x:c r="D7" s="11" t="str">
        <x:v>Errors/teleports/emergency braking</x:v>
      </x:c>
      <x:c r="E7" s="11" t="str">
        <x:v>0 / 0 / 0</x:v>
      </x:c>
      <x:c r="F7" s="11" t="str">
        <x:v>Scartare scenario</x:v>
      </x:c>
      <x:c r="G7" s="11" t="str">
        <x:v>Tutte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Tutte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635a947eb64ef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25" hidden="0" customWidth="1"/>
    <x:col min="6" max="6" width="36" hidden="0" customWidth="1"/>
    <x:col min="7" max="7" width="48" hidden="0" customWidth="1"/>
  </x:cols>
  <x:sheetData>
    <x:row r="1" ht="28" customHeight="1">
      <x:c r="A1" s="60" t="str">
        <x:v>Checklist operativa della campagna sperimentale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97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97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97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97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97" t="str">
        <x:v>DA_ESEGUIRE</x:v>
      </x:c>
      <x:c r="F8" s="11" t="str">
        <x:v>Manifest cleanup</x:v>
      </x:c>
      <x:c r="G8" s="11" t="str">
        <x:v>Disponibili piano e script di cleanup; non allegato l'output finale di esecuzione.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97" t="str">
        <x:v>EVIDENZA_PARZIALE</x:v>
      </x:c>
      <x:c r="F9" s="11" t="str">
        <x:v>manifest scenario</x:v>
      </x:c>
      <x:c r="G9" s="11" t="str">
        <x:v>Dimostrato per la configurazione smoke, non per l'intera campagna.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97" t="str">
        <x:v>EVIDENZA_PARZIALE</x:v>
      </x:c>
      <x:c r="F10" s="11" t="str">
        <x:v>config workload</x:v>
      </x:c>
      <x:c r="G10" s="11" t="str">
        <x:v>Configurazioni G00 preparate; verifica completa per tutte le run ancora da consolidare.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97" t="str">
        <x:v>EVIDENZA_PARZIALE</x:v>
      </x:c>
      <x:c r="F11" s="11" t="str">
        <x:v>manifest scenario</x:v>
      </x:c>
      <x:c r="G11" s="11" t="str">
        <x:v>Registrati per smoke e materializzazioni G00; campagne successive non avviate.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97" t="str">
        <x:v>EVIDENZA_PARZIALE</x:v>
      </x:c>
      <x:c r="F12" s="11" t="str">
        <x:v>config scenario</x:v>
      </x:c>
      <x:c r="G12" s="11" t="str">
        <x:v>Configurazioni censite; verifica run-by-run ancora da eseguire.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97" t="str">
        <x:v>EVIDENZA_PARZIALE</x:v>
      </x:c>
      <x:c r="F13" s="11" t="str">
        <x:v>materialization report</x:v>
      </x:c>
      <x:c r="G13" s="11" t="str">
        <x:v>Materializzazioni G00 disponibili; controlli mirati G04 non eseguiti.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97" t="str">
        <x:v>EVIDENZA_PARZIALE</x:v>
      </x:c>
      <x:c r="F14" s="11" t="str">
        <x:v>report validator</x:v>
      </x:c>
      <x:c r="G14" s="11" t="str">
        <x:v>Validator dimostrato sulla configurazione smoke.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97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97" t="str">
        <x:v>EVIDENZA_PARZIALE</x:v>
      </x:c>
      <x:c r="F16" s="11" t="str">
        <x:v>DB + validator</x:v>
      </x:c>
      <x:c r="G16" s="11" t="str">
        <x:v>Database SQLite valido dimostrato sulla configurazione smoke.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97" t="str">
        <x:v>EVIDENZA_PARZIALE</x:v>
      </x:c>
      <x:c r="F17" s="11" t="str">
        <x:v>deploy report</x:v>
      </x:c>
      <x:c r="G17" s="11" t="str">
        <x:v>Deploy/hash dimostrati sullo smoke con JAR recuperato e validato.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97" t="str">
        <x:v>EVIDENZA_PARZIALE</x:v>
      </x:c>
      <x:c r="F18" s="11" t="str">
        <x:v>Piano_run</x:v>
      </x:c>
      <x:c r="G18" s="11" t="str">
        <x:v>Nome e directory registrati per PRE-03-SMOKE.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97" t="str">
        <x:v>EVIDENZA_PARZIALE</x:v>
      </x:c>
      <x:c r="F19" s="11" t="str">
        <x:v>live_run_summary.json</x:v>
      </x:c>
      <x:c r="G19" s="11" t="str">
        <x:v>Simulazione smoke completata a 180/180 s.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97" t="str">
        <x:v>EVIDENZA_PARZIALE</x:v>
      </x:c>
      <x:c r="F20" s="11" t="str">
        <x:v>inventario run</x:v>
      </x:c>
      <x:c r="G20" s="11" t="str">
        <x:v>Manifest finale G01: 85 evidenze, 0 errori hash.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97" t="str">
        <x:v>EVIDENZA_PARZIALE</x:v>
      </x:c>
      <x:c r="F21" s="11" t="str">
        <x:v>validator</x:v>
      </x:c>
      <x:c r="G21" s="11" t="str">
        <x:v>Validator finale passato con 0 errori sulla run smoke.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97" t="str">
        <x:v>EVIDENZA_PARZIALE</x:v>
      </x:c>
      <x:c r="F22" s="11" t="str">
        <x:v>summary</x:v>
      </x:c>
      <x:c r="G22" s="11" t="str">
        <x:v>Snapshot lag massimo 0 e violazioni runtime 0 nello smoke.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97" t="str">
        <x:v>DA_ESEGUIRE</x:v>
      </x:c>
      <x:c r="F23" s="11" t="str">
        <x:v>tabella aggregata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97" t="str">
        <x:v>EVIDENZA_PARZIALE</x:v>
      </x:c>
      <x:c r="F24" s="11" t="str">
        <x:v>tabella aggregata</x:v>
      </x:c>
      <x:c r="G24" s="11" t="str">
        <x:v>Runtime GA e stale estratti per lo smoke.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97" t="str">
        <x:v>DA_ESEGUIRE</x:v>
      </x:c>
      <x:c r="F25" s="11" t="str">
        <x:v>detailed report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97" t="str">
        <x:v>DA_ESEGUIRE</x:v>
      </x:c>
      <x:c r="F26" s="11" t="str">
        <x:v>decision summary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97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97" t="str">
        <x:v>DA_ESEGUIRE</x:v>
      </x:c>
      <x:c r="F28" s="11" t="str">
        <x:v>mobility reports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97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97" t="str">
        <x:v>DA_ESEGUIRE</x:v>
      </x:c>
      <x:c r="F30" s="11" t="str">
        <x:v>Piano_run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97" t="str">
        <x:v>DA_ESEGUIRE</x:v>
      </x:c>
      <x:c r="F31" s="11" t="str">
        <x:v>Piano_run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97" t="str">
        <x:v>DA_ESEGUIRE</x:v>
      </x:c>
      <x:c r="F32" s="11" t="str">
        <x:v>Catalogo_test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97" t="str">
        <x:v>DA_ESEGUIRE</x:v>
      </x:c>
      <x:c r="F33" s="11" t="str">
        <x:v>XLSX risultati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97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97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97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97" t="str">
        <x:v>PASS</x:v>
      </x:c>
      <x:c r="F37" s="11" t="str">
        <x:v>risultati</x:v>
      </x:c>
      <x:c r="G37" s="11" t="str">
        <x:v>high_density classificato esplicitamente come stress profile.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97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97" t="str">
        <x:v>EVIDENZA_PARZIALE</x:v>
      </x:c>
      <x:c r="F39" s="11" t="str">
        <x:v>limiti</x:v>
      </x:c>
      <x:c r="G39" s="11" t="str">
        <x:v>Alcuni limiti sono dichiarati; audit finale G07 ancora da eseguire.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5957f924847e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documentato.</x:v>
      </x:c>
      <x:c r="D6" s="11" t="str">
        <x:v>Mostra il limite operativo.</x:v>
      </x:c>
      <x:c r="E6" s="11" t="str">
        <x:v>Che sia una configurazione stabile.</x:v>
      </x:c>
      <x:c r="F6" s="11" t="str">
        <x:v>Separare sempre dai profili stabili.</x:v>
      </x:c>
      <x:c r="G6" s="11" t="str">
        <x:v>Freeze manifest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Monotonia risultati</x:v>
      </x:c>
      <x:c r="C14" s="11" t="str">
        <x:v>GA e workload sono stocastici.</x:v>
      </x:c>
      <x:c r="D14" s="11" t="str">
        <x:v>Si confrontano distribuzioni su cinque seed.</x:v>
      </x:c>
      <x:c r="E14" s="11" t="str">
        <x:v>Che ogni metrica cresca strettamente con il carico.</x:v>
      </x:c>
      <x:c r="F14" s="11" t="str">
        <x:v>Usare media/mediana/P95 e dispersione.</x:v>
      </x:c>
      <x:c r="G14" s="11" t="str">
        <x:v>Metodo sperimentale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92f71823537d4cd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la matrice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9e041ea3ac2742c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52" hidden="0" customWidth="1"/>
    <x:col min="4" max="4" width="34" hidden="0" customWidth="1"/>
    <x:col min="5" max="5" width="34" hidden="0" customWidth="1"/>
    <x:col min="6" max="6" width="24" hidden="0" customWidth="1"/>
    <x:col min="7" max="7" width="44" hidden="0" customWidth="1"/>
    <x:col min="8" max="8" width="46" hidden="0" customWidth="1"/>
  </x:cols>
  <x:sheetData>
    <x:row r="1" ht="28" customHeight="1">
      <x:c r="A1" s="80" t="str">
        <x:v>Risultati dimostrati - gruppi G00 e G01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G02-G07</x:v>
      </x:c>
      <x:c r="B10" s="93" t="str">
        <x:v>DA_ESEGUIRE</x:v>
      </x:c>
      <x:c r="C10" s="93" t="str">
        <x:v>Nessuna simulazione dei gruppi successivi è stata avviata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T-002</x:v>
      </x:c>
      <x:c r="C23" s="93" t="str">
        <x:v>JAR recuperato e validato; non è una fresh build.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93" t="str">
        <x:v>EVIDENZA_PARZIALE</x:v>
      </x:c>
      <x:c r="B25" s="93" t="str">
        <x:v>T-010; T-012; T-013; T-018; T-031; T-043; T-044; T-045; T-050; T-051; T-052; T-055; T-119; T-120; T-130; T-131; T-132; T-133; T-135</x:v>
      </x:c>
      <x:c r="C25" s="93" t="str">
        <x:v>Osservati nello smoke o supportati da G00, ma la responsabilità primaria resta nei gruppi successivi.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83" t="str">
        <x:v>Verifica gruppi successivi e pianificazione G02B</x:v>
      </x:c>
      <x:c r="B52" s="83"/>
      <x:c r="C52" s="83"/>
      <x:c r="D52" s="83"/>
      <x:c r="E52" s="83"/>
      <x:c r="F52" s="83"/>
      <x:c r="G52" s="83"/>
      <x:c r="H52" s="83"/>
    </x:row>
    <x:row r="53">
      <x:c r="A53" s="89" t="str">
        <x:v>Elemento</x:v>
      </x:c>
      <x:c r="B53" s="89" t="str">
        <x:v>Ambito</x:v>
      </x:c>
      <x:c r="C53" s="89" t="str">
        <x:v>Seed</x:v>
      </x:c>
      <x:c r="D53" s="89" t="str">
        <x:v>Stato</x:v>
      </x:c>
      <x:c r="E53" s="89" t="str">
        <x:v>Vincolo</x:v>
      </x:c>
      <x:c r="F53" s="89" t="str">
        <x:v>Esito atteso</x:v>
      </x:c>
    </x:row>
    <x:row r="54">
      <x:c r="A54" s="93" t="str">
        <x:v>G02 principale</x:v>
      </x:c>
      <x:c r="B54" s="93" t="str">
        <x:v>9 configurazioni x 5 seed = 45 run</x:v>
      </x:c>
      <x:c r="C54" s="93" t="str">
        <x:v>5 ufficiali</x:v>
      </x:c>
      <x:c r="D54" s="93" t="str">
        <x:v>DA_ESEGUIRE</x:v>
      </x:c>
      <x:c r="E54" s="93" t="str">
        <x:v>Non avviato</x:v>
      </x:c>
      <x:c r="F54" s="93" t="str">
        <x:v>Tutte le 45 righe restano non avviate.</x:v>
      </x:c>
    </x:row>
    <x:row r="55">
      <x:c r="A55" s="93" t="str">
        <x:v>G02B-LOCAL</x:v>
      </x:c>
      <x:c r="B55" s="93" t="str">
        <x:v>MA-GA completo vs LOCAL-only</x:v>
      </x:c>
      <x:c r="C55" s="93" t="str">
        <x:v>5 ufficiali</x:v>
      </x:c>
      <x:c r="D55" s="93" t="str">
        <x:v>DA_ESEGUIRE</x:v>
      </x:c>
      <x:c r="E55" s="93" t="str">
        <x:v>Nessuna modifica Java</x:v>
      </x:c>
      <x:c r="F55" s="93" t="str">
        <x:v>Valutare qualità decisionale.</x:v>
      </x:c>
    </x:row>
    <x:row r="56">
      <x:c r="A56" s="93" t="str">
        <x:v>G02B-MOBILITY</x:v>
      </x:c>
      <x:c r="B56" s="93" t="str">
        <x:v>MA-GA completo vs penalità mobility-aware disattivata</x:v>
      </x:c>
      <x:c r="C56" s="93" t="str">
        <x:v>5 ufficiali</x:v>
      </x:c>
      <x:c r="D56" s="93" t="str">
        <x:v>DA_ESEGUIRE</x:v>
      </x:c>
      <x:c r="E56" s="93" t="str">
        <x:v>Nessuna modifica Java</x:v>
      </x:c>
      <x:c r="F56" s="93" t="str">
        <x:v>Misurare contributo mobility-aware.</x:v>
      </x:c>
    </x:row>
    <x:row r="57">
      <x:c r="A57" s="93" t="str">
        <x:v>G02B-REUSE</x:v>
      </x:c>
      <x:c r="B57" s="93" t="str">
        <x:v>Cold start vs population reuse</x:v>
      </x:c>
      <x:c r="C57" s="93" t="str">
        <x:v>5 ufficiali</x:v>
      </x:c>
      <x:c r="D57" s="93" t="str">
        <x:v>DA_ESEGUIRE</x:v>
      </x:c>
      <x:c r="E57" s="93" t="str">
        <x:v>Nessuna modifica Java</x:v>
      </x:c>
      <x:c r="F57" s="93" t="str">
        <x:v>Misurare beneficio del riuso.</x:v>
      </x:c>
    </x:row>
    <x:row r="58">
      <x:c r="A58" s="93" t="str">
        <x:v>G02B-OPTIONAL</x:v>
      </x:c>
      <x:c r="B58" s="93" t="str">
        <x:v>Random-feasible o greedy</x:v>
      </x:c>
      <x:c r="C58" s="93" t="str">
        <x:v>5 ufficiali</x:v>
      </x:c>
      <x:c r="D58" s="93" t="str">
        <x:v>DA_ESEGUIRE</x:v>
      </x:c>
      <x:c r="E58" s="93" t="str">
        <x:v>Solo se già supportata</x:v>
      </x:c>
      <x:c r="F58" s="93" t="str">
        <x:v>Baseline opzionale.</x:v>
      </x:c>
    </x:row>
    <x:row r="59">
      <x:c r="A59" s="93" t="str">
        <x:v>G03</x:v>
      </x:c>
      <x:c r="B59" s="93" t="str">
        <x:v>Riproducibilità e durata</x:v>
      </x:c>
      <x:c r="C59" s="93" t="str">
        <x:v>Come da piano</x:v>
      </x:c>
      <x:c r="D59" s="93" t="str">
        <x:v>DA_ESEGUIRE</x:v>
      </x:c>
      <x:c r="E59" s="93" t="str">
        <x:v>Non avviato</x:v>
      </x:c>
      <x:c r="F59" s="93"/>
    </x:row>
    <x:row r="60">
      <x:c r="A60" s="93" t="str">
        <x:v>G04</x:v>
      </x:c>
      <x:c r="B60" s="93" t="str">
        <x:v>Mobilità e connettività</x:v>
      </x:c>
      <x:c r="C60" s="93" t="str">
        <x:v>Come da piano</x:v>
      </x:c>
      <x:c r="D60" s="93" t="str">
        <x:v>DA_ESEGUIRE</x:v>
      </x:c>
      <x:c r="E60" s="93" t="str">
        <x:v>Non avviato</x:v>
      </x:c>
      <x:c r="F60" s="93"/>
    </x:row>
    <x:row r="61">
      <x:c r="A61" s="93" t="str">
        <x:v>G05</x:v>
      </x:c>
      <x:c r="B61" s="93" t="str">
        <x:v>Risorse e repair</x:v>
      </x:c>
      <x:c r="C61" s="93" t="str">
        <x:v>Come da piano</x:v>
      </x:c>
      <x:c r="D61" s="93" t="str">
        <x:v>DA_ESEGUIRE</x:v>
      </x:c>
      <x:c r="E61" s="93" t="str">
        <x:v>Non avviato</x:v>
      </x:c>
      <x:c r="F61" s="93"/>
    </x:row>
    <x:row r="62">
      <x:c r="A62" s="93" t="str">
        <x:v>G06</x:v>
      </x:c>
      <x:c r="B62" s="93" t="str">
        <x:v>Runtime e policy temporali</x:v>
      </x:c>
      <x:c r="C62" s="93" t="str">
        <x:v>Come da piano</x:v>
      </x:c>
      <x:c r="D62" s="93" t="str">
        <x:v>DA_ESEGUIRE</x:v>
      </x:c>
      <x:c r="E62" s="93" t="str">
        <x:v>Non avviato</x:v>
      </x:c>
      <x:c r="F62" s="93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93" t="str">
        <x:v>DA_ESEGUIRE</x:v>
      </x:c>
      <x:c r="E63" s="93" t="str">
        <x:v>Non avviato</x:v>
      </x:c>
      <x:c r="F63" s="93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